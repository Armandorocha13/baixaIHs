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888343A-6F4F-4C9C-A3EC-C016B10E1112}" xr6:coauthVersionLast="47" xr6:coauthVersionMax="47" xr10:uidLastSave="{00000000-0000-0000-0000-000000000000}"/>
  <bookViews>
    <workbookView xWindow="-120" yWindow="-120" windowWidth="20730" windowHeight="11160" xr2:uid="{C3E66A80-BF6C-435E-804C-8B8B841F09AD}"/>
  </bookViews>
  <sheets>
    <sheet name="BAIXA" sheetId="1" r:id="rId1"/>
    <sheet name="Monitoramento" sheetId="3" r:id="rId2"/>
  </sheets>
  <definedNames>
    <definedName name="_xlnm._FilterDatabase" localSheetId="0" hidden="1">BAIXA!$A$1:$M$153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" i="3" l="1"/>
  <c r="B10" i="3"/>
  <c r="O3" i="3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J10" i="3" l="1"/>
  <c r="F10" i="3"/>
</calcChain>
</file>

<file path=xl/sharedStrings.xml><?xml version="1.0" encoding="utf-8"?>
<sst xmlns="http://schemas.openxmlformats.org/spreadsheetml/2006/main" count="3021" uniqueCount="656">
  <si>
    <t>CODCT</t>
  </si>
  <si>
    <t>PROJETO</t>
  </si>
  <si>
    <t>NUM_OS</t>
  </si>
  <si>
    <t>NUM_CLIENTE</t>
  </si>
  <si>
    <t>DATA_EXECUCAO</t>
  </si>
  <si>
    <t>TAREFA</t>
  </si>
  <si>
    <t>EQUIPE</t>
  </si>
  <si>
    <t>CODMAT</t>
  </si>
  <si>
    <t>CODCPL</t>
  </si>
  <si>
    <t>QTDE_APLIC</t>
  </si>
  <si>
    <t>APLICANIEL</t>
  </si>
  <si>
    <t>QTDE_REMOV</t>
  </si>
  <si>
    <t>MOTIVO</t>
  </si>
  <si>
    <t>33</t>
  </si>
  <si>
    <t xml:space="preserve"> TIM - GPON RJO</t>
  </si>
  <si>
    <t>10853215</t>
  </si>
  <si>
    <t>-</t>
  </si>
  <si>
    <t>26/06/2026</t>
  </si>
  <si>
    <t>1</t>
  </si>
  <si>
    <t>002438</t>
  </si>
  <si>
    <t>TM05006716</t>
  </si>
  <si>
    <t>KAON0901EC16</t>
  </si>
  <si>
    <t>0</t>
  </si>
  <si>
    <t>Importado com sucesso.</t>
  </si>
  <si>
    <t>10846376</t>
  </si>
  <si>
    <t>002485</t>
  </si>
  <si>
    <t>TM05006667</t>
  </si>
  <si>
    <t>SMBS0050549A</t>
  </si>
  <si>
    <t>10853018</t>
  </si>
  <si>
    <t>002612</t>
  </si>
  <si>
    <t>TM04017341</t>
  </si>
  <si>
    <t>TLCTBE88F690</t>
  </si>
  <si>
    <t>10863529</t>
  </si>
  <si>
    <t>002793</t>
  </si>
  <si>
    <t>SMBS04003A9F</t>
  </si>
  <si>
    <t>10850893</t>
  </si>
  <si>
    <t>002963</t>
  </si>
  <si>
    <t>SMBS04006C41</t>
  </si>
  <si>
    <t>10877401</t>
  </si>
  <si>
    <t>003045</t>
  </si>
  <si>
    <t>SMBS00503F56</t>
  </si>
  <si>
    <t>10872599</t>
  </si>
  <si>
    <t>SMBS00509E87</t>
  </si>
  <si>
    <t>10874421</t>
  </si>
  <si>
    <t>SMBS005388D9</t>
  </si>
  <si>
    <t>10846722</t>
  </si>
  <si>
    <t>003082</t>
  </si>
  <si>
    <t>TLCTBE88BC50</t>
  </si>
  <si>
    <t>10867845</t>
  </si>
  <si>
    <t>SMBS00500319</t>
  </si>
  <si>
    <t>10872469</t>
  </si>
  <si>
    <t>003108</t>
  </si>
  <si>
    <t>SMBS00533C93</t>
  </si>
  <si>
    <t>10872132</t>
  </si>
  <si>
    <t>SMBS040055E6</t>
  </si>
  <si>
    <t>10842910</t>
  </si>
  <si>
    <t>003281</t>
  </si>
  <si>
    <t>SMBS0400005F</t>
  </si>
  <si>
    <t>10878817</t>
  </si>
  <si>
    <t>003335</t>
  </si>
  <si>
    <t>SMBS004FDA05</t>
  </si>
  <si>
    <t>10873129</t>
  </si>
  <si>
    <t>003354</t>
  </si>
  <si>
    <t>KAON09023685</t>
  </si>
  <si>
    <t>10861439</t>
  </si>
  <si>
    <t>003582</t>
  </si>
  <si>
    <t>SMBS00536D45</t>
  </si>
  <si>
    <t>10864968</t>
  </si>
  <si>
    <t>KAON09010A45</t>
  </si>
  <si>
    <t>10870542</t>
  </si>
  <si>
    <t>003986</t>
  </si>
  <si>
    <t>SMBS0050199D</t>
  </si>
  <si>
    <t>10875056</t>
  </si>
  <si>
    <t>004132</t>
  </si>
  <si>
    <t>KAON0900010C</t>
  </si>
  <si>
    <t>10867945</t>
  </si>
  <si>
    <t>004162</t>
  </si>
  <si>
    <t>SMBS00502753</t>
  </si>
  <si>
    <t>10845895</t>
  </si>
  <si>
    <t>004376</t>
  </si>
  <si>
    <t>KAON090097F4</t>
  </si>
  <si>
    <t>10864698</t>
  </si>
  <si>
    <t>004387</t>
  </si>
  <si>
    <t>SMBS0066EC22</t>
  </si>
  <si>
    <t>10865441</t>
  </si>
  <si>
    <t>SMBS0053800B</t>
  </si>
  <si>
    <t>10873901</t>
  </si>
  <si>
    <t>004390</t>
  </si>
  <si>
    <t>SMBS004FDF50</t>
  </si>
  <si>
    <t>10873112</t>
  </si>
  <si>
    <t>SMBS004FDD72</t>
  </si>
  <si>
    <t>10869968</t>
  </si>
  <si>
    <t>004417</t>
  </si>
  <si>
    <t>SMBS005017D2</t>
  </si>
  <si>
    <t>10871111</t>
  </si>
  <si>
    <t>004463</t>
  </si>
  <si>
    <t>KAON0901E4D4</t>
  </si>
  <si>
    <t>10841579</t>
  </si>
  <si>
    <t>004482</t>
  </si>
  <si>
    <t>KAON090222C0</t>
  </si>
  <si>
    <t>10877248</t>
  </si>
  <si>
    <t>TM05006851</t>
  </si>
  <si>
    <t>FTTH0AB550E0</t>
  </si>
  <si>
    <t>10878859</t>
  </si>
  <si>
    <t>004505</t>
  </si>
  <si>
    <t>TLCTBE891550</t>
  </si>
  <si>
    <t>10872271</t>
  </si>
  <si>
    <t>004518</t>
  </si>
  <si>
    <t>KAON090121E7</t>
  </si>
  <si>
    <t>10887478</t>
  </si>
  <si>
    <t>004615</t>
  </si>
  <si>
    <t>TLCTBE890B60</t>
  </si>
  <si>
    <t>10853080</t>
  </si>
  <si>
    <t>SMBS0066AFFC</t>
  </si>
  <si>
    <t>10883710</t>
  </si>
  <si>
    <t>004648</t>
  </si>
  <si>
    <t>SMBS0057DC2A</t>
  </si>
  <si>
    <t>10882663</t>
  </si>
  <si>
    <t>004707</t>
  </si>
  <si>
    <t>KAON090181E8</t>
  </si>
  <si>
    <t>10877568</t>
  </si>
  <si>
    <t>KAON0901A7EA</t>
  </si>
  <si>
    <t>10856129</t>
  </si>
  <si>
    <t>004710</t>
  </si>
  <si>
    <t>TLCTBE88E590</t>
  </si>
  <si>
    <t>10866354</t>
  </si>
  <si>
    <t>004725</t>
  </si>
  <si>
    <t>SMBS00502E17</t>
  </si>
  <si>
    <t>10877106</t>
  </si>
  <si>
    <t>KAON0901A4FE</t>
  </si>
  <si>
    <t>10880215</t>
  </si>
  <si>
    <t>004755</t>
  </si>
  <si>
    <t>SMBS00509B4B</t>
  </si>
  <si>
    <t>10884580</t>
  </si>
  <si>
    <t>SMBS00535DDB</t>
  </si>
  <si>
    <t>10872373</t>
  </si>
  <si>
    <t>104874</t>
  </si>
  <si>
    <t>KAON09012634</t>
  </si>
  <si>
    <t>10855053</t>
  </si>
  <si>
    <t>104978</t>
  </si>
  <si>
    <t>KAON0901EEF6</t>
  </si>
  <si>
    <t>10875955</t>
  </si>
  <si>
    <t>105016</t>
  </si>
  <si>
    <t>SMBS005F8AAA</t>
  </si>
  <si>
    <t>10840596</t>
  </si>
  <si>
    <t>105019</t>
  </si>
  <si>
    <t>SMBS040042E1</t>
  </si>
  <si>
    <t>10884213</t>
  </si>
  <si>
    <t>105054</t>
  </si>
  <si>
    <t>SMBS00538340</t>
  </si>
  <si>
    <t>10884139</t>
  </si>
  <si>
    <t>SMBS0053765D</t>
  </si>
  <si>
    <t>10877722</t>
  </si>
  <si>
    <t>KAON0901AD85</t>
  </si>
  <si>
    <t>10877676</t>
  </si>
  <si>
    <t>105055</t>
  </si>
  <si>
    <t>SMBS00670BA1</t>
  </si>
  <si>
    <t>10869714</t>
  </si>
  <si>
    <t>KAON09026DCE</t>
  </si>
  <si>
    <t>10842534</t>
  </si>
  <si>
    <t>KAON09020A8A</t>
  </si>
  <si>
    <t>10850376</t>
  </si>
  <si>
    <t>FTTH098FEBD0</t>
  </si>
  <si>
    <t>10873400</t>
  </si>
  <si>
    <t>105060</t>
  </si>
  <si>
    <t>SMBS040005B0</t>
  </si>
  <si>
    <t>10885260</t>
  </si>
  <si>
    <t>105062</t>
  </si>
  <si>
    <t>KAON09027E52</t>
  </si>
  <si>
    <t>10838526</t>
  </si>
  <si>
    <t>105068</t>
  </si>
  <si>
    <t>SMBS00534B08</t>
  </si>
  <si>
    <t>10879217</t>
  </si>
  <si>
    <t>105076</t>
  </si>
  <si>
    <t>KAON090034B6</t>
  </si>
  <si>
    <t>10871051</t>
  </si>
  <si>
    <t>106007</t>
  </si>
  <si>
    <t>KAON09006FFF</t>
  </si>
  <si>
    <t>10879931</t>
  </si>
  <si>
    <t>106038</t>
  </si>
  <si>
    <t>SMBS005362D8</t>
  </si>
  <si>
    <t>10879171</t>
  </si>
  <si>
    <t>106039</t>
  </si>
  <si>
    <t>KAON090242A7</t>
  </si>
  <si>
    <t>10881156</t>
  </si>
  <si>
    <t>106043</t>
  </si>
  <si>
    <t>KAON0901A53C</t>
  </si>
  <si>
    <t>10860441</t>
  </si>
  <si>
    <t>106047</t>
  </si>
  <si>
    <t>KAON090092A0</t>
  </si>
  <si>
    <t>10809082</t>
  </si>
  <si>
    <t>106049</t>
  </si>
  <si>
    <t>SMBS006705FF</t>
  </si>
  <si>
    <t>10872769</t>
  </si>
  <si>
    <t>230205</t>
  </si>
  <si>
    <t>SMBS0400E691</t>
  </si>
  <si>
    <t>10845510</t>
  </si>
  <si>
    <t>700062</t>
  </si>
  <si>
    <t>KAON0901BBB8</t>
  </si>
  <si>
    <t>10876507</t>
  </si>
  <si>
    <t>700080</t>
  </si>
  <si>
    <t>SMBS00535B08</t>
  </si>
  <si>
    <t>10840325</t>
  </si>
  <si>
    <t>700092</t>
  </si>
  <si>
    <t>SMBS0066EA96</t>
  </si>
  <si>
    <t>10874540</t>
  </si>
  <si>
    <t>SMBS00539238</t>
  </si>
  <si>
    <t>10874756</t>
  </si>
  <si>
    <t>SMBS00509089</t>
  </si>
  <si>
    <t>10872953</t>
  </si>
  <si>
    <t>700102</t>
  </si>
  <si>
    <t>TM04015878</t>
  </si>
  <si>
    <t>BCSK48A0E568</t>
  </si>
  <si>
    <t>10877498</t>
  </si>
  <si>
    <t>SMBS00538C16</t>
  </si>
  <si>
    <t>10874454</t>
  </si>
  <si>
    <t>SMBS00536E70</t>
  </si>
  <si>
    <t>10861873</t>
  </si>
  <si>
    <t>700106</t>
  </si>
  <si>
    <t>KAON09020D0A</t>
  </si>
  <si>
    <t>10869640</t>
  </si>
  <si>
    <t>700108</t>
  </si>
  <si>
    <t>SMBS00535E37</t>
  </si>
  <si>
    <t>10870983</t>
  </si>
  <si>
    <t>KAON0901999F</t>
  </si>
  <si>
    <t>10888994</t>
  </si>
  <si>
    <t>28/06/2026</t>
  </si>
  <si>
    <t>SMBS04009723</t>
  </si>
  <si>
    <t>10873866</t>
  </si>
  <si>
    <t>SMBS005377BE</t>
  </si>
  <si>
    <t>10899031</t>
  </si>
  <si>
    <t>SMBS004A66CF</t>
  </si>
  <si>
    <t>10863797</t>
  </si>
  <si>
    <t>003651</t>
  </si>
  <si>
    <t>KAON09009F80</t>
  </si>
  <si>
    <t>10891934</t>
  </si>
  <si>
    <t>003697</t>
  </si>
  <si>
    <t>KAON09013788</t>
  </si>
  <si>
    <t>10896072</t>
  </si>
  <si>
    <t>003921</t>
  </si>
  <si>
    <t>SMBS005355F6</t>
  </si>
  <si>
    <t>10881325</t>
  </si>
  <si>
    <t>SMBS0057DC03</t>
  </si>
  <si>
    <t>10878851</t>
  </si>
  <si>
    <t>SMBS04007F17</t>
  </si>
  <si>
    <t>10877056</t>
  </si>
  <si>
    <t>SMBS0050190B</t>
  </si>
  <si>
    <t>10902692</t>
  </si>
  <si>
    <t>KAON09015CB4</t>
  </si>
  <si>
    <t>10873196</t>
  </si>
  <si>
    <t>KAON090037B5</t>
  </si>
  <si>
    <t>10869745</t>
  </si>
  <si>
    <t>TM04014671</t>
  </si>
  <si>
    <t>KAON09028238</t>
  </si>
  <si>
    <t>10873192</t>
  </si>
  <si>
    <t>004462</t>
  </si>
  <si>
    <t>KAON09029E3A</t>
  </si>
  <si>
    <t>10872607</t>
  </si>
  <si>
    <t>004536</t>
  </si>
  <si>
    <t>SMBS004A6052</t>
  </si>
  <si>
    <t>10875906</t>
  </si>
  <si>
    <t>SMBS04004940</t>
  </si>
  <si>
    <t>10902027</t>
  </si>
  <si>
    <t>SMBS004FEA9E</t>
  </si>
  <si>
    <t>10897981</t>
  </si>
  <si>
    <t>BCSK489DDC20</t>
  </si>
  <si>
    <t>10885838</t>
  </si>
  <si>
    <t>SMBS004A79D7</t>
  </si>
  <si>
    <t>10888804</t>
  </si>
  <si>
    <t>106051</t>
  </si>
  <si>
    <t>KAON0901F9C5</t>
  </si>
  <si>
    <t>10880954</t>
  </si>
  <si>
    <t>TM05005588</t>
  </si>
  <si>
    <t>SMBS00416E56</t>
  </si>
  <si>
    <t>10874225</t>
  </si>
  <si>
    <t>SMBS0052CC9A</t>
  </si>
  <si>
    <t>10894281</t>
  </si>
  <si>
    <t>SMBS00503E5F</t>
  </si>
  <si>
    <t>10888725</t>
  </si>
  <si>
    <t>SMBS04003715</t>
  </si>
  <si>
    <t>10824891</t>
  </si>
  <si>
    <t>27/06/2026</t>
  </si>
  <si>
    <t>KAON0901F568</t>
  </si>
  <si>
    <t>10895093</t>
  </si>
  <si>
    <t>002526</t>
  </si>
  <si>
    <t>KAON09013173</t>
  </si>
  <si>
    <t>10883883</t>
  </si>
  <si>
    <t>003044</t>
  </si>
  <si>
    <t>TLCTBE8909C0</t>
  </si>
  <si>
    <t>10848606</t>
  </si>
  <si>
    <t>SMBS005353B8</t>
  </si>
  <si>
    <t>10841038</t>
  </si>
  <si>
    <t>SMBS0066FFC2</t>
  </si>
  <si>
    <t>10872034</t>
  </si>
  <si>
    <t>SMBS005F8ADB</t>
  </si>
  <si>
    <t>10867382</t>
  </si>
  <si>
    <t>SMBS0052D1E1</t>
  </si>
  <si>
    <t>10846618</t>
  </si>
  <si>
    <t>KAON09007E41</t>
  </si>
  <si>
    <t>10897838</t>
  </si>
  <si>
    <t>KAON0902768C</t>
  </si>
  <si>
    <t>10893617</t>
  </si>
  <si>
    <t>003329</t>
  </si>
  <si>
    <t>SMBS0050073D</t>
  </si>
  <si>
    <t>10864292</t>
  </si>
  <si>
    <t>SMBS005385F9</t>
  </si>
  <si>
    <t>10877972</t>
  </si>
  <si>
    <t>SMBS004FEF85</t>
  </si>
  <si>
    <t>10877478</t>
  </si>
  <si>
    <t>SMBS004FE1CE</t>
  </si>
  <si>
    <t>10878432</t>
  </si>
  <si>
    <t>TLCTBE890D00</t>
  </si>
  <si>
    <t>10837442</t>
  </si>
  <si>
    <t>TLCTBE890A50</t>
  </si>
  <si>
    <t>10884523</t>
  </si>
  <si>
    <t>KAON0901B2E3</t>
  </si>
  <si>
    <t>10894294</t>
  </si>
  <si>
    <t>SMBS00538243</t>
  </si>
  <si>
    <t>10895815</t>
  </si>
  <si>
    <t>SMBS04002CEB</t>
  </si>
  <si>
    <t>10827938</t>
  </si>
  <si>
    <t>SMBS0400C9CC</t>
  </si>
  <si>
    <t>10841558</t>
  </si>
  <si>
    <t>SMBS00537817</t>
  </si>
  <si>
    <t>10842893</t>
  </si>
  <si>
    <t>SMBS0057FF23</t>
  </si>
  <si>
    <t>10878900</t>
  </si>
  <si>
    <t>SMBS040023C4</t>
  </si>
  <si>
    <t>10888529</t>
  </si>
  <si>
    <t>KAON0901AE4B</t>
  </si>
  <si>
    <t>10841180</t>
  </si>
  <si>
    <t>SMBS004A7419</t>
  </si>
  <si>
    <t>10833278</t>
  </si>
  <si>
    <t>KAON090043D9</t>
  </si>
  <si>
    <t>10897952</t>
  </si>
  <si>
    <t>004617</t>
  </si>
  <si>
    <t>KAON0901BA70</t>
  </si>
  <si>
    <t>10871369</t>
  </si>
  <si>
    <t>SMBS0052D589</t>
  </si>
  <si>
    <t>10868240</t>
  </si>
  <si>
    <t>KAON0900899F</t>
  </si>
  <si>
    <t>10851156</t>
  </si>
  <si>
    <t>004820</t>
  </si>
  <si>
    <t>KAON09026CDD</t>
  </si>
  <si>
    <t>10868805</t>
  </si>
  <si>
    <t>KAON09024167</t>
  </si>
  <si>
    <t>10852907</t>
  </si>
  <si>
    <t>105001</t>
  </si>
  <si>
    <t>SMBS005369A7</t>
  </si>
  <si>
    <t>10838357</t>
  </si>
  <si>
    <t>KAON0900A6BB</t>
  </si>
  <si>
    <t>10896705</t>
  </si>
  <si>
    <t>SMBS0400CC28</t>
  </si>
  <si>
    <t>10880064</t>
  </si>
  <si>
    <t>105018</t>
  </si>
  <si>
    <t>KAON09019D70</t>
  </si>
  <si>
    <t>10846927</t>
  </si>
  <si>
    <t>TLCTBE8906C0</t>
  </si>
  <si>
    <t>10845534</t>
  </si>
  <si>
    <t>TLCTBE88BB40</t>
  </si>
  <si>
    <t>10887146</t>
  </si>
  <si>
    <t>105065</t>
  </si>
  <si>
    <t>SMBS04008EC9</t>
  </si>
  <si>
    <t>10876434</t>
  </si>
  <si>
    <t>KAON0901B11F</t>
  </si>
  <si>
    <t>10843053</t>
  </si>
  <si>
    <t>KAON09017329</t>
  </si>
  <si>
    <t>10888020</t>
  </si>
  <si>
    <t>KAON090029F8</t>
  </si>
  <si>
    <t>10856781</t>
  </si>
  <si>
    <t>106037</t>
  </si>
  <si>
    <t>SMBS0052BA1F</t>
  </si>
  <si>
    <t>10893787</t>
  </si>
  <si>
    <t>KAON09009B4F</t>
  </si>
  <si>
    <t>10872835</t>
  </si>
  <si>
    <t>SMBS0066FA75</t>
  </si>
  <si>
    <t>10879958</t>
  </si>
  <si>
    <t>KAON0901E56F</t>
  </si>
  <si>
    <t>10881785</t>
  </si>
  <si>
    <t>KAON09007C58</t>
  </si>
  <si>
    <t>10874002</t>
  </si>
  <si>
    <t>KAON09003329</t>
  </si>
  <si>
    <t>10876809</t>
  </si>
  <si>
    <t>KAON09024F28</t>
  </si>
  <si>
    <t>10872192</t>
  </si>
  <si>
    <t>KAON090241E7</t>
  </si>
  <si>
    <t>10875189</t>
  </si>
  <si>
    <t>SMBS0400F80E</t>
  </si>
  <si>
    <t>10890876</t>
  </si>
  <si>
    <t>SMBS04000389</t>
  </si>
  <si>
    <t>10892103</t>
  </si>
  <si>
    <t>106052</t>
  </si>
  <si>
    <t>SMBS0053738E</t>
  </si>
  <si>
    <t>10865571</t>
  </si>
  <si>
    <t>KAON0901B515</t>
  </si>
  <si>
    <t>10871450</t>
  </si>
  <si>
    <t>SMBS005390E0</t>
  </si>
  <si>
    <t>10877857</t>
  </si>
  <si>
    <t>SMBS04003359</t>
  </si>
  <si>
    <t>10885883</t>
  </si>
  <si>
    <t>SMBS040037F8</t>
  </si>
  <si>
    <t>32</t>
  </si>
  <si>
    <t>INSTALAÇÃO GPON SP</t>
  </si>
  <si>
    <t>10359071</t>
  </si>
  <si>
    <t>131946</t>
  </si>
  <si>
    <t>SMBS003E9A8D</t>
  </si>
  <si>
    <t>10283577</t>
  </si>
  <si>
    <t>131983</t>
  </si>
  <si>
    <t>TM05005630</t>
  </si>
  <si>
    <t>ZTEGCE0796E4</t>
  </si>
  <si>
    <t>10349122</t>
  </si>
  <si>
    <t>132003</t>
  </si>
  <si>
    <t>SMBS00370EAD</t>
  </si>
  <si>
    <t>10364759</t>
  </si>
  <si>
    <t>132060</t>
  </si>
  <si>
    <t>TM04016961</t>
  </si>
  <si>
    <t>HWTCFF6BCDB3</t>
  </si>
  <si>
    <t>10365077</t>
  </si>
  <si>
    <t>132090</t>
  </si>
  <si>
    <t>SMBS003ED2DD</t>
  </si>
  <si>
    <t>10365758</t>
  </si>
  <si>
    <t>SMBS00371D3C</t>
  </si>
  <si>
    <t>10306998</t>
  </si>
  <si>
    <t>132091</t>
  </si>
  <si>
    <t>FTTH0A22CFC0</t>
  </si>
  <si>
    <t>10347199</t>
  </si>
  <si>
    <t>132092</t>
  </si>
  <si>
    <t>TM05006717</t>
  </si>
  <si>
    <t>TMBB0056C51D</t>
  </si>
  <si>
    <t>10333895</t>
  </si>
  <si>
    <t>500011</t>
  </si>
  <si>
    <t>KAON09023EDB</t>
  </si>
  <si>
    <t>10350634</t>
  </si>
  <si>
    <t>500295</t>
  </si>
  <si>
    <t>HWTCE6BA6BB4</t>
  </si>
  <si>
    <t>10316458</t>
  </si>
  <si>
    <t>500318</t>
  </si>
  <si>
    <t>ZTEGCD5906F7</t>
  </si>
  <si>
    <t>10369639</t>
  </si>
  <si>
    <t>500370</t>
  </si>
  <si>
    <t>ZTEGCE07E3EC</t>
  </si>
  <si>
    <t>10359827</t>
  </si>
  <si>
    <t>500514</t>
  </si>
  <si>
    <t>TM05004523</t>
  </si>
  <si>
    <t>SMBS00036FCA</t>
  </si>
  <si>
    <t>10360448</t>
  </si>
  <si>
    <t>501248</t>
  </si>
  <si>
    <t>SMBS00377A77</t>
  </si>
  <si>
    <t>10350310</t>
  </si>
  <si>
    <t>501350</t>
  </si>
  <si>
    <t>SMBS0041820D</t>
  </si>
  <si>
    <t>10350279</t>
  </si>
  <si>
    <t>SMBS00374201</t>
  </si>
  <si>
    <t>10357532</t>
  </si>
  <si>
    <t>501351</t>
  </si>
  <si>
    <t>SMBS00418D8C</t>
  </si>
  <si>
    <t>10360465</t>
  </si>
  <si>
    <t>501354</t>
  </si>
  <si>
    <t>ZTEGCB31469A</t>
  </si>
  <si>
    <t>10353283</t>
  </si>
  <si>
    <t>501355</t>
  </si>
  <si>
    <t>HWTC92342EB6</t>
  </si>
  <si>
    <t>10355596</t>
  </si>
  <si>
    <t>501380</t>
  </si>
  <si>
    <t>SMBS003736AE</t>
  </si>
  <si>
    <t>10353912</t>
  </si>
  <si>
    <t>501391</t>
  </si>
  <si>
    <t>TLCTA62CEF20</t>
  </si>
  <si>
    <t>10356856</t>
  </si>
  <si>
    <t>501415</t>
  </si>
  <si>
    <t>ZTEGCE07E2CA</t>
  </si>
  <si>
    <t>10327807</t>
  </si>
  <si>
    <t>501419</t>
  </si>
  <si>
    <t>HWTC25C55DB4</t>
  </si>
  <si>
    <t>10365177</t>
  </si>
  <si>
    <t>501709</t>
  </si>
  <si>
    <t>TMBB0063F8DF</t>
  </si>
  <si>
    <t>10361290</t>
  </si>
  <si>
    <t>TMBB00560C46</t>
  </si>
  <si>
    <t>10359094</t>
  </si>
  <si>
    <t>501712</t>
  </si>
  <si>
    <t>TM04014973</t>
  </si>
  <si>
    <t>ZTEGD427C5A3</t>
  </si>
  <si>
    <t>10355624</t>
  </si>
  <si>
    <t>5019</t>
  </si>
  <si>
    <t>TLCTA62CF6E0</t>
  </si>
  <si>
    <t>10351936</t>
  </si>
  <si>
    <t>131930</t>
  </si>
  <si>
    <t>SMBS003EADED</t>
  </si>
  <si>
    <t>10368064</t>
  </si>
  <si>
    <t>TMBB006070C0</t>
  </si>
  <si>
    <t>10366233</t>
  </si>
  <si>
    <t>131980</t>
  </si>
  <si>
    <t>HWTC9235B3B6</t>
  </si>
  <si>
    <t>10357031</t>
  </si>
  <si>
    <t>131981</t>
  </si>
  <si>
    <t>HWTC92428FB6</t>
  </si>
  <si>
    <t>10363862</t>
  </si>
  <si>
    <t>ZTEGCE07EA3F</t>
  </si>
  <si>
    <t>10374541</t>
  </si>
  <si>
    <t>ZTEGCE07E2CF</t>
  </si>
  <si>
    <t>10370122</t>
  </si>
  <si>
    <t>ZTEGCCFF83EC</t>
  </si>
  <si>
    <t>10377891</t>
  </si>
  <si>
    <t>ZTEGCCFF9D3A</t>
  </si>
  <si>
    <t>10369756</t>
  </si>
  <si>
    <t>HWTCE0E02BB5</t>
  </si>
  <si>
    <t>10368771</t>
  </si>
  <si>
    <t>501302</t>
  </si>
  <si>
    <t>SMBS00101657</t>
  </si>
  <si>
    <t>10371263</t>
  </si>
  <si>
    <t>501600</t>
  </si>
  <si>
    <t>ZTEGCCFFA096</t>
  </si>
  <si>
    <t>10373552</t>
  </si>
  <si>
    <t>HWTCE0E95DB5</t>
  </si>
  <si>
    <t>10362609</t>
  </si>
  <si>
    <t>KAON0901FAFA</t>
  </si>
  <si>
    <t>10350979</t>
  </si>
  <si>
    <t>501885</t>
  </si>
  <si>
    <t>SMBS000DAA40</t>
  </si>
  <si>
    <t>10366297</t>
  </si>
  <si>
    <t>5066</t>
  </si>
  <si>
    <t>ZTEGCB3107BC</t>
  </si>
  <si>
    <t>10379354</t>
  </si>
  <si>
    <t>60024</t>
  </si>
  <si>
    <t>ZTEGCE07A00A</t>
  </si>
  <si>
    <t>10362022</t>
  </si>
  <si>
    <t>60040</t>
  </si>
  <si>
    <t>SMBS00100824</t>
  </si>
  <si>
    <t>10367738</t>
  </si>
  <si>
    <t>60069</t>
  </si>
  <si>
    <t>FTTH0AB40CC0</t>
  </si>
  <si>
    <t>10379649</t>
  </si>
  <si>
    <t>6988</t>
  </si>
  <si>
    <t>FTTH08FC74B8</t>
  </si>
  <si>
    <t>10353759</t>
  </si>
  <si>
    <t>501898</t>
  </si>
  <si>
    <t>TMBB005824FE</t>
  </si>
  <si>
    <t>10385867</t>
  </si>
  <si>
    <t>TMBB0056691A</t>
  </si>
  <si>
    <t>ESTADO</t>
  </si>
  <si>
    <t>(Tudo)</t>
  </si>
  <si>
    <t>Rótulos de Linha</t>
  </si>
  <si>
    <t>Total Geral</t>
  </si>
  <si>
    <t>Rótulos de Coluna</t>
  </si>
  <si>
    <t>RJ</t>
  </si>
  <si>
    <t>SP</t>
  </si>
  <si>
    <t>Qtde Modems</t>
  </si>
  <si>
    <t>Monitoramento de Importação de Modems</t>
  </si>
  <si>
    <t>Acompanhamento Diário de Importações com Sucesso   •   Rio de Janeiro × São Paulo</t>
  </si>
  <si>
    <t>Atualizado em</t>
  </si>
  <si>
    <t>INDICADORES GERAIS</t>
  </si>
  <si>
    <t>TOTAL IMPORTADO</t>
  </si>
  <si>
    <t>RIO DE JANEIRO (RJ)</t>
  </si>
  <si>
    <t>SÃO PAULO (SP)</t>
  </si>
  <si>
    <t>DETALHAMENTO DIÁRIO POR ESTADO</t>
  </si>
  <si>
    <t>Fonte: aba BAIXA  •  Considera apenas registros “Importado com sucesso.”  •  Atualize a Tabela Dinâmica (clique direito ▸ Atualizar) após colar novos dados.</t>
  </si>
  <si>
    <t>TAXA DE IMPORTAÇÃO</t>
  </si>
  <si>
    <t>10801798</t>
  </si>
  <si>
    <t>19/06/2026</t>
  </si>
  <si>
    <t>KAON09026EA2</t>
  </si>
  <si>
    <t>10853091</t>
  </si>
  <si>
    <t>29/06/2026</t>
  </si>
  <si>
    <t>SMBS04002E4B</t>
  </si>
  <si>
    <t>10853484</t>
  </si>
  <si>
    <t>KAON0901B89A</t>
  </si>
  <si>
    <t>10853583</t>
  </si>
  <si>
    <t>KAON0902192D</t>
  </si>
  <si>
    <t>10854038</t>
  </si>
  <si>
    <t>105020</t>
  </si>
  <si>
    <t>SMBS005F801F</t>
  </si>
  <si>
    <t>10855611</t>
  </si>
  <si>
    <t>TLCTBE891D00</t>
  </si>
  <si>
    <t>10857298</t>
  </si>
  <si>
    <t>SMBS00502FEB</t>
  </si>
  <si>
    <t>10858741</t>
  </si>
  <si>
    <t>KAON0900A3A0</t>
  </si>
  <si>
    <t>10859185</t>
  </si>
  <si>
    <t>SMBS0052C3F8</t>
  </si>
  <si>
    <t>10863378</t>
  </si>
  <si>
    <t>SMBS005F7CF7</t>
  </si>
  <si>
    <t>10863471</t>
  </si>
  <si>
    <t>KAON0901A9C5</t>
  </si>
  <si>
    <t>10863786</t>
  </si>
  <si>
    <t>106048</t>
  </si>
  <si>
    <t>KAON0901A536</t>
  </si>
  <si>
    <t>10863922</t>
  </si>
  <si>
    <t>106712</t>
  </si>
  <si>
    <t>SMBS0400D9C8</t>
  </si>
  <si>
    <t>10864473</t>
  </si>
  <si>
    <t>SMBS00503C37</t>
  </si>
  <si>
    <t>10865487</t>
  </si>
  <si>
    <t>SMBS00536B08</t>
  </si>
  <si>
    <t>10866025</t>
  </si>
  <si>
    <t>KAON090169AD</t>
  </si>
  <si>
    <t>10866223</t>
  </si>
  <si>
    <t>SMBS005349BF</t>
  </si>
  <si>
    <t>10866357</t>
  </si>
  <si>
    <t>SMBS00543F1E</t>
  </si>
  <si>
    <t>10867128</t>
  </si>
  <si>
    <t>KAON0900A41C</t>
  </si>
  <si>
    <t>10868057</t>
  </si>
  <si>
    <t>004713</t>
  </si>
  <si>
    <t>TLCTBE890740</t>
  </si>
  <si>
    <t>10869645</t>
  </si>
  <si>
    <t>SMBS040013EA</t>
  </si>
  <si>
    <t>10869790</t>
  </si>
  <si>
    <t>KAON09007F57</t>
  </si>
  <si>
    <t>10874701</t>
  </si>
  <si>
    <t>SMBS04006433</t>
  </si>
  <si>
    <t>10882366</t>
  </si>
  <si>
    <t>KAON09009180</t>
  </si>
  <si>
    <t>10886712</t>
  </si>
  <si>
    <t>SMBS0053840E</t>
  </si>
  <si>
    <t>10888661</t>
  </si>
  <si>
    <t>KAON0901AF8C</t>
  </si>
  <si>
    <t>10890874</t>
  </si>
  <si>
    <t>004952</t>
  </si>
  <si>
    <t>SMBS0057F503</t>
  </si>
  <si>
    <t>10891283</t>
  </si>
  <si>
    <t>TLCTBE890630</t>
  </si>
  <si>
    <t>10891441</t>
  </si>
  <si>
    <t>TLCTBE890A30</t>
  </si>
  <si>
    <t>10892121</t>
  </si>
  <si>
    <t>KAON09023B8F</t>
  </si>
  <si>
    <t>10892363</t>
  </si>
  <si>
    <t>SMBS00535738</t>
  </si>
  <si>
    <t>10893640</t>
  </si>
  <si>
    <t>SMBS04001E6D</t>
  </si>
  <si>
    <t>10896185</t>
  </si>
  <si>
    <t>SMBS00670CE3</t>
  </si>
  <si>
    <t>10896475</t>
  </si>
  <si>
    <t>004386</t>
  </si>
  <si>
    <t>SMBS005394E7</t>
  </si>
  <si>
    <t>10896610</t>
  </si>
  <si>
    <t>SMBS005008DF</t>
  </si>
  <si>
    <t>10898177</t>
  </si>
  <si>
    <t>SMBS0057F3E5</t>
  </si>
  <si>
    <t>10898237</t>
  </si>
  <si>
    <t>KAON09007747</t>
  </si>
  <si>
    <t>10898286</t>
  </si>
  <si>
    <t>KAON09004265</t>
  </si>
  <si>
    <t>10898452</t>
  </si>
  <si>
    <t>KAON09022485</t>
  </si>
  <si>
    <t>10899689</t>
  </si>
  <si>
    <t>KAON0900F69D</t>
  </si>
  <si>
    <t>10899935</t>
  </si>
  <si>
    <t>SMBS005388E6</t>
  </si>
  <si>
    <t>10904530</t>
  </si>
  <si>
    <t>SMBS00534187</t>
  </si>
  <si>
    <t>10908105</t>
  </si>
  <si>
    <t>SMBS040032BE</t>
  </si>
  <si>
    <t>10910124</t>
  </si>
  <si>
    <t>SMBS04008066</t>
  </si>
  <si>
    <t>10810232</t>
  </si>
  <si>
    <t>SMBS04004A38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</si>
</sst>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color rgb="FF1F2A6E"/>
      <name val="Calibri"/>
      <scheme val="minor"/>
    </font>
    <font>
      <sz val="11"/>
      <color rgb="FF5A6275"/>
      <name val="Calibri"/>
      <scheme val="minor"/>
    </font>
    <font>
      <sz val="8"/>
      <color rgb="FF9AA1B0"/>
      <name val="Calibri"/>
      <family val="2"/>
      <scheme val="minor"/>
    </font>
    <font>
      <b/>
      <sz val="12"/>
      <color rgb="FF1F2A6E"/>
      <name val="Calibri"/>
      <family val="2"/>
      <scheme val="minor"/>
    </font>
    <font>
      <b/>
      <sz val="12"/>
      <color rgb="FF1F2A6E"/>
      <name val="Calibri"/>
      <scheme val="minor"/>
    </font>
    <font>
      <b/>
      <sz val="9"/>
      <color rgb="FF8A91A3"/>
      <name val="Calibri"/>
      <family val="2"/>
      <scheme val="minor"/>
    </font>
    <font>
      <b/>
      <sz val="26"/>
      <color rgb="FF1F2A6E"/>
      <name val="Calibri"/>
      <family val="2"/>
      <scheme val="minor"/>
    </font>
    <font>
      <b/>
      <sz val="26"/>
      <color rgb="FFCE1126"/>
      <name val="Calibri"/>
      <family val="2"/>
      <scheme val="minor"/>
    </font>
    <font>
      <b/>
      <sz val="11"/>
      <color rgb="FF1F2A6E"/>
      <name val="Calibri"/>
      <family val="2"/>
      <scheme val="minor"/>
    </font>
    <font>
      <sz val="11"/>
      <color rgb="FF5A6275"/>
      <name val="Calibri"/>
      <family val="2"/>
      <scheme val="minor"/>
    </font>
    <font>
      <i/>
      <sz val="9"/>
      <color rgb="FF9AA1B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4F6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E1126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ck">
        <color rgb="FF1F2A6E"/>
      </top>
      <bottom/>
      <diagonal/>
    </border>
    <border>
      <left style="thin">
        <color rgb="FFE3E7EF"/>
      </left>
      <right/>
      <top style="thick">
        <color rgb="FF1F2A6E"/>
      </top>
      <bottom/>
      <diagonal/>
    </border>
    <border>
      <left/>
      <right style="thin">
        <color rgb="FFE3E7EF"/>
      </right>
      <top style="thick">
        <color rgb="FF1F2A6E"/>
      </top>
      <bottom/>
      <diagonal/>
    </border>
    <border>
      <left/>
      <right/>
      <top/>
      <bottom style="thin">
        <color rgb="FFE3E7EF"/>
      </bottom>
      <diagonal/>
    </border>
    <border>
      <left style="thin">
        <color rgb="FFE3E7EF"/>
      </left>
      <right/>
      <top/>
      <bottom style="thin">
        <color rgb="FFE3E7EF"/>
      </bottom>
      <diagonal/>
    </border>
    <border>
      <left style="thin">
        <color rgb="FFE3E7EF"/>
      </left>
      <right/>
      <top/>
      <bottom/>
      <diagonal/>
    </border>
    <border>
      <left/>
      <right style="thin">
        <color rgb="FFE3E7EF"/>
      </right>
      <top/>
      <bottom/>
      <diagonal/>
    </border>
    <border>
      <left/>
      <right style="thin">
        <color rgb="FFE3E7EF"/>
      </right>
      <top/>
      <bottom style="thin">
        <color rgb="FFE3E7EF"/>
      </bottom>
      <diagonal/>
    </border>
    <border>
      <left/>
      <right/>
      <top style="thick">
        <color rgb="FFCE1126"/>
      </top>
      <bottom/>
      <diagonal/>
    </border>
    <border>
      <left style="thin">
        <color rgb="FFE3E7EF"/>
      </left>
      <right/>
      <top style="thick">
        <color rgb="FFCE1126"/>
      </top>
      <bottom/>
      <diagonal/>
    </border>
    <border>
      <left/>
      <right style="thin">
        <color rgb="FFE3E7EF"/>
      </right>
      <top style="thick">
        <color rgb="FFCE1126"/>
      </top>
      <bottom/>
      <diagonal/>
    </border>
    <border>
      <left/>
      <right/>
      <top style="thin">
        <color rgb="FFE3E7EF"/>
      </top>
      <bottom/>
      <diagonal/>
    </border>
    <border>
      <left style="thin">
        <color rgb="FFE3E7EF"/>
      </left>
      <right/>
      <top style="thin">
        <color rgb="FFE3E7EF"/>
      </top>
      <bottom/>
      <diagonal/>
    </border>
    <border>
      <left/>
      <right style="thin">
        <color rgb="FFE3E7EF"/>
      </right>
      <top style="thin">
        <color rgb="FFE3E7EF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1" xfId="0" applyNumberFormat="1" applyBorder="1"/>
    <xf numFmtId="49" fontId="0" fillId="0" borderId="1" xfId="0" applyNumberFormat="1" applyBorder="1"/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2" fillId="2" borderId="4" xfId="0" applyNumberFormat="1" applyFont="1" applyFill="1" applyBorder="1"/>
    <xf numFmtId="0" fontId="0" fillId="0" borderId="1" xfId="0" applyNumberForma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3" borderId="0" xfId="0" applyFont="1" applyFill="1"/>
    <xf numFmtId="0" fontId="7" fillId="0" borderId="0" xfId="0" applyFont="1"/>
    <xf numFmtId="0" fontId="11" fillId="0" borderId="0" xfId="0" pivotButton="1" applyFont="1"/>
    <xf numFmtId="0" fontId="12" fillId="0" borderId="0" xfId="0" applyFont="1"/>
    <xf numFmtId="0" fontId="0" fillId="4" borderId="10" xfId="0" applyFill="1" applyBorder="1" applyAlignment="1">
      <alignment horizontal="left"/>
    </xf>
    <xf numFmtId="3" fontId="0" fillId="4" borderId="0" xfId="0" applyNumberFormat="1" applyFill="1" applyBorder="1"/>
    <xf numFmtId="3" fontId="0" fillId="4" borderId="11" xfId="0" applyNumberFormat="1" applyFill="1" applyBorder="1"/>
    <xf numFmtId="0" fontId="11" fillId="4" borderId="17" xfId="0" applyFont="1" applyFill="1" applyBorder="1"/>
    <xf numFmtId="0" fontId="11" fillId="4" borderId="16" xfId="0" applyFont="1" applyFill="1" applyBorder="1"/>
    <xf numFmtId="0" fontId="11" fillId="4" borderId="18" xfId="0" applyFont="1" applyFill="1" applyBorder="1"/>
    <xf numFmtId="0" fontId="11" fillId="4" borderId="10" xfId="0" applyFont="1" applyFill="1" applyBorder="1"/>
    <xf numFmtId="0" fontId="11" fillId="4" borderId="0" xfId="0" applyFont="1" applyFill="1" applyBorder="1"/>
    <xf numFmtId="0" fontId="11" fillId="4" borderId="11" xfId="0" applyFont="1" applyFill="1" applyBorder="1"/>
    <xf numFmtId="0" fontId="1" fillId="4" borderId="9" xfId="0" applyFont="1" applyFill="1" applyBorder="1" applyAlignment="1">
      <alignment horizontal="left"/>
    </xf>
    <xf numFmtId="3" fontId="1" fillId="4" borderId="8" xfId="0" applyNumberFormat="1" applyFont="1" applyFill="1" applyBorder="1"/>
    <xf numFmtId="3" fontId="1" fillId="4" borderId="12" xfId="0" applyNumberFormat="1" applyFont="1" applyFill="1" applyBorder="1"/>
    <xf numFmtId="0" fontId="8" fillId="4" borderId="14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0" xfId="0" applyNumberFormat="1" applyFont="1" applyFill="1" applyBorder="1" applyAlignment="1">
      <alignment horizontal="center" vertical="center"/>
    </xf>
    <xf numFmtId="164" fontId="10" fillId="4" borderId="11" xfId="0" applyNumberFormat="1" applyFont="1" applyFill="1" applyBorder="1" applyAlignment="1">
      <alignment horizontal="center" vertical="center"/>
    </xf>
    <xf numFmtId="164" fontId="10" fillId="4" borderId="9" xfId="0" applyNumberFormat="1" applyFont="1" applyFill="1" applyBorder="1" applyAlignment="1">
      <alignment horizontal="center" vertical="center"/>
    </xf>
    <xf numFmtId="164" fontId="10" fillId="4" borderId="8" xfId="0" applyNumberFormat="1" applyFont="1" applyFill="1" applyBorder="1" applyAlignment="1">
      <alignment horizontal="center" vertical="center"/>
    </xf>
    <xf numFmtId="164" fontId="10" fillId="4" borderId="12" xfId="0" applyNumberFormat="1" applyFont="1" applyFill="1" applyBorder="1" applyAlignment="1">
      <alignment horizontal="center" vertical="center"/>
    </xf>
    <xf numFmtId="0" fontId="13" fillId="3" borderId="0" xfId="0" applyFont="1" applyFill="1"/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3" fontId="9" fillId="4" borderId="10" xfId="0" applyNumberFormat="1" applyFont="1" applyFill="1" applyBorder="1" applyAlignment="1">
      <alignment horizontal="center" vertical="center"/>
    </xf>
    <xf numFmtId="3" fontId="9" fillId="4" borderId="0" xfId="0" applyNumberFormat="1" applyFont="1" applyFill="1" applyBorder="1" applyAlignment="1">
      <alignment horizontal="center" vertical="center"/>
    </xf>
    <xf numFmtId="3" fontId="9" fillId="4" borderId="11" xfId="0" applyNumberFormat="1" applyFont="1" applyFill="1" applyBorder="1" applyAlignment="1">
      <alignment horizontal="center" vertical="center"/>
    </xf>
    <xf numFmtId="3" fontId="9" fillId="4" borderId="9" xfId="0" applyNumberFormat="1" applyFont="1" applyFill="1" applyBorder="1" applyAlignment="1">
      <alignment horizontal="center" vertical="center"/>
    </xf>
    <xf numFmtId="3" fontId="9" fillId="4" borderId="8" xfId="0" applyNumberFormat="1" applyFont="1" applyFill="1" applyBorder="1" applyAlignment="1">
      <alignment horizontal="center" vertical="center"/>
    </xf>
    <xf numFmtId="3" fontId="9" fillId="4" borderId="12" xfId="0" applyNumberFormat="1" applyFont="1" applyFill="1" applyBorder="1" applyAlignment="1">
      <alignment horizontal="center" vertical="center"/>
    </xf>
    <xf numFmtId="3" fontId="10" fillId="4" borderId="10" xfId="0" applyNumberFormat="1" applyFont="1" applyFill="1" applyBorder="1" applyAlignment="1">
      <alignment horizontal="center" vertical="center"/>
    </xf>
    <xf numFmtId="3" fontId="10" fillId="4" borderId="0" xfId="0" applyNumberFormat="1" applyFont="1" applyFill="1" applyBorder="1" applyAlignment="1">
      <alignment horizontal="center" vertical="center"/>
    </xf>
    <xf numFmtId="3" fontId="10" fillId="4" borderId="11" xfId="0" applyNumberFormat="1" applyFont="1" applyFill="1" applyBorder="1" applyAlignment="1">
      <alignment horizontal="center" vertical="center"/>
    </xf>
    <xf numFmtId="3" fontId="10" fillId="4" borderId="9" xfId="0" applyNumberFormat="1" applyFont="1" applyFill="1" applyBorder="1" applyAlignment="1">
      <alignment horizontal="center" vertical="center"/>
    </xf>
    <xf numFmtId="3" fontId="10" fillId="4" borderId="8" xfId="0" applyNumberFormat="1" applyFont="1" applyFill="1" applyBorder="1" applyAlignment="1">
      <alignment horizontal="center" vertical="center"/>
    </xf>
    <xf numFmtId="3" fontId="10" fillId="4" borderId="12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68">
    <dxf>
      <font>
        <b/>
      </font>
    </dxf>
    <dxf>
      <font>
        <b/>
      </font>
    </dxf>
    <dxf>
      <font>
        <color rgb="FF1F2A6E"/>
      </font>
    </dxf>
    <dxf>
      <font>
        <color rgb="FF1F2A6E"/>
      </font>
    </dxf>
    <dxf>
      <font>
        <color rgb="FF1F2A6E"/>
      </font>
    </dxf>
    <dxf>
      <font>
        <color rgb="FF1F2A6E"/>
      </font>
    </dxf>
    <dxf>
      <font>
        <color rgb="FF1F2A6E"/>
      </font>
    </dxf>
    <dxf>
      <font>
        <color rgb="FF1F2A6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border diagonalUp="0" diagonalDown="0" outline="0">
        <left style="thin">
          <color rgb="FFE3E7EF"/>
        </left>
        <right style="thin">
          <color rgb="FFE3E7EF"/>
        </right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 style="thin">
          <color rgb="FFE3E7EF"/>
        </right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 style="thin">
          <color rgb="FFE3E7EF"/>
        </right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 style="thin">
          <color rgb="FFE3E7EF"/>
        </right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 style="thin">
          <color rgb="FFE3E7EF"/>
        </right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 style="thin">
          <color rgb="FFE3E7EF"/>
        </right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 style="thin">
          <color rgb="FFE3E7EF"/>
        </right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 style="thin">
          <color rgb="FFE3E7EF"/>
        </right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 style="thin">
          <color rgb="FFE3E7EF"/>
        </right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 style="thin">
          <color rgb="FFE3E7EF"/>
        </right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 style="thin">
          <color rgb="FFE3E7EF"/>
        </left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 style="thin">
          <color rgb="FFE3E7EF"/>
        </bottom>
      </border>
    </dxf>
    <dxf>
      <border diagonalUp="0" diagonalDown="0" outline="0">
        <left/>
        <right/>
        <top style="thin">
          <color rgb="FFE3E7EF"/>
        </top>
        <bottom/>
      </border>
    </dxf>
    <dxf>
      <border diagonalUp="0" diagonalDown="0" outline="0">
        <left/>
        <right/>
        <top style="thin">
          <color rgb="FFE3E7EF"/>
        </top>
        <bottom/>
      </border>
    </dxf>
    <dxf>
      <border diagonalUp="0" diagonalDown="0" outline="0">
        <left/>
        <right/>
        <top style="thin">
          <color rgb="FFE3E7EF"/>
        </top>
        <bottom/>
      </border>
    </dxf>
    <dxf>
      <border diagonalUp="0" diagonalDown="0" outline="0">
        <left/>
        <right/>
        <top style="thin">
          <color rgb="FFE3E7EF"/>
        </top>
        <bottom/>
      </border>
    </dxf>
    <dxf>
      <border diagonalUp="0" diagonalDown="0" outline="0">
        <left/>
        <right/>
        <top style="thin">
          <color rgb="FFE3E7EF"/>
        </top>
        <bottom/>
      </border>
    </dxf>
    <dxf>
      <border diagonalUp="0" diagonalDown="0" outline="0">
        <left/>
        <right/>
        <top style="thin">
          <color rgb="FFE3E7EF"/>
        </top>
        <bottom/>
      </border>
    </dxf>
    <dxf>
      <border diagonalUp="0" diagonalDown="0" outline="0">
        <left/>
        <right/>
        <top style="thin">
          <color rgb="FFE3E7EF"/>
        </top>
        <bottom/>
      </border>
    </dxf>
    <dxf>
      <border diagonalUp="0" diagonalDown="0" outline="0">
        <left/>
        <right/>
        <top style="thin">
          <color rgb="FFE3E7EF"/>
        </top>
        <bottom/>
      </border>
    </dxf>
    <dxf>
      <border diagonalUp="0" diagonalDown="0" outline="0">
        <left/>
        <right/>
        <top style="thin">
          <color rgb="FFE3E7EF"/>
        </top>
        <bottom/>
      </border>
    </dxf>
    <dxf>
      <border diagonalUp="0" diagonalDown="0" outline="0">
        <left/>
        <right/>
        <top style="thin">
          <color rgb="FFE3E7EF"/>
        </top>
        <bottom/>
      </border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color rgb="FF5A6275"/>
      </font>
    </dxf>
    <dxf>
      <font>
        <color rgb="FF1F2A6E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[Acompanhamento de baixa - MODENS IHS.xlsx]Monitoramento!ptMonitoramento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2A6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Diária Importada — RJ × 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2A6E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1F2A6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E112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Monitoramento!$C$16:$C$17</c:f>
              <c:strCache>
                <c:ptCount val="1"/>
                <c:pt idx="0">
                  <c:v>RJ</c:v>
                </c:pt>
              </c:strCache>
            </c:strRef>
          </c:tx>
          <c:spPr>
            <a:solidFill>
              <a:srgbClr val="1F2A6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Monitoramento!$B$18:$B$21</c:f>
              <c:strCache>
                <c:ptCount val="3"/>
                <c:pt idx="0">
                  <c:v>26/06/2026</c:v>
                </c:pt>
                <c:pt idx="1">
                  <c:v>27/06/2026</c:v>
                </c:pt>
                <c:pt idx="2">
                  <c:v>28/06/2026</c:v>
                </c:pt>
              </c:strCache>
            </c:strRef>
          </c:cat>
          <c:val>
            <c:numRef>
              <c:f>Monitoramento!$C$18:$C$21</c:f>
              <c:numCache>
                <c:formatCode>#,##0</c:formatCode>
                <c:ptCount val="3"/>
                <c:pt idx="0">
                  <c:v>74</c:v>
                </c:pt>
                <c:pt idx="1">
                  <c:v>55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E-42D6-B996-8B2ED3913C49}"/>
            </c:ext>
          </c:extLst>
        </c:ser>
        <c:ser>
          <c:idx val="1"/>
          <c:order val="1"/>
          <c:tx>
            <c:strRef>
              <c:f>Monitoramento!$D$16:$D$17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rgbClr val="CE112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Monitoramento!$B$18:$B$21</c:f>
              <c:strCache>
                <c:ptCount val="3"/>
                <c:pt idx="0">
                  <c:v>26/06/2026</c:v>
                </c:pt>
                <c:pt idx="1">
                  <c:v>27/06/2026</c:v>
                </c:pt>
                <c:pt idx="2">
                  <c:v>28/06/2026</c:v>
                </c:pt>
              </c:strCache>
            </c:strRef>
          </c:cat>
          <c:val>
            <c:numRef>
              <c:f>Monitoramento!$D$18:$D$21</c:f>
              <c:numCache>
                <c:formatCode>#,##0</c:formatCode>
                <c:ptCount val="3"/>
                <c:pt idx="0">
                  <c:v>27</c:v>
                </c:pt>
                <c:pt idx="1">
                  <c:v>19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E-42D6-B996-8B2ED3913C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924689791"/>
        <c:axId val="924690207"/>
      </c:barChart>
      <c:catAx>
        <c:axId val="92468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4690207"/>
        <c:crosses val="autoZero"/>
        <c:auto val="1"/>
        <c:lblAlgn val="ctr"/>
        <c:lblOffset val="100"/>
        <c:noMultiLvlLbl val="0"/>
      </c:catAx>
      <c:valAx>
        <c:axId val="92469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46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solidFill>
        <a:srgbClr val="E3E7EF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101600</xdr:rowOff>
    </xdr:from>
    <xdr:to>
      <xdr:col>1</xdr:col>
      <xdr:colOff>861291</xdr:colOff>
      <xdr:row>4</xdr:row>
      <xdr:rowOff>114643</xdr:rowOff>
    </xdr:to>
    <xdr:pic>
      <xdr:nvPicPr>
        <xdr:cNvPr id="3" name="logoFFA">
          <a:extLst>
            <a:ext uri="{FF2B5EF4-FFF2-40B4-BE49-F238E27FC236}">
              <a16:creationId xmlns:a16="http://schemas.microsoft.com/office/drawing/2014/main" id="{152837B3-9E29-48DC-AB68-691476F50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01600"/>
          <a:ext cx="939800" cy="9398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4" name="grafMonitoramento">
          <a:extLst>
            <a:ext uri="{FF2B5EF4-FFF2-40B4-BE49-F238E27FC236}">
              <a16:creationId xmlns:a16="http://schemas.microsoft.com/office/drawing/2014/main" id="{D325D3F9-4BC5-4357-9842-118E3F8CD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2.47474247685" createdVersion="7" refreshedVersion="7" minRefreshableVersion="3" recordCount="200" xr:uid="{842CE35A-3EE8-4F78-963B-D4F8257E8FF5}">
  <cacheSource type="worksheet">
    <worksheetSource ref="A1:N201" sheet="BAIXA"/>
  </cacheSource>
  <cacheFields count="14">
    <cacheField name="CODCT" numFmtId="49">
      <sharedItems/>
    </cacheField>
    <cacheField name="PROJETO" numFmtId="49">
      <sharedItems/>
    </cacheField>
    <cacheField name="NUM_OS" numFmtId="49">
      <sharedItems/>
    </cacheField>
    <cacheField name="NUM_CLIENTE" numFmtId="49">
      <sharedItems/>
    </cacheField>
    <cacheField name="DATA_EXECUCAO" numFmtId="49">
      <sharedItems count="3">
        <s v="26/06/2026"/>
        <s v="27/06/2026"/>
        <s v="28/06/2026"/>
      </sharedItems>
    </cacheField>
    <cacheField name="TAREFA" numFmtId="49">
      <sharedItems/>
    </cacheField>
    <cacheField name="EQUIPE" numFmtId="49">
      <sharedItems/>
    </cacheField>
    <cacheField name="CODMAT" numFmtId="49">
      <sharedItems/>
    </cacheField>
    <cacheField name="CODCPL" numFmtId="49">
      <sharedItems/>
    </cacheField>
    <cacheField name="QTDE_APLIC" numFmtId="0">
      <sharedItems containsSemiMixedTypes="0" containsString="0" containsNumber="1" containsInteger="1" minValue="1" maxValue="1"/>
    </cacheField>
    <cacheField name="APLICANIEL" numFmtId="49">
      <sharedItems/>
    </cacheField>
    <cacheField name="QTDE_REMOV" numFmtId="49">
      <sharedItems/>
    </cacheField>
    <cacheField name="MOTIVO" numFmtId="49">
      <sharedItems count="1">
        <s v="Importado com sucesso."/>
      </sharedItems>
    </cacheField>
    <cacheField name="ESTADO" numFmtId="0">
      <sharedItems count="2">
        <s v="RJ"/>
        <s v="S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33"/>
    <s v=" TIM - GPON RJO"/>
    <s v="10853215"/>
    <s v="-"/>
    <x v="0"/>
    <s v="1"/>
    <s v="002438"/>
    <s v="TM05006716"/>
    <s v="KAON0901EC16"/>
    <n v="1"/>
    <s v="1"/>
    <s v="0"/>
    <x v="0"/>
    <x v="0"/>
  </r>
  <r>
    <s v="33"/>
    <s v=" TIM - GPON RJO"/>
    <s v="10846376"/>
    <s v="-"/>
    <x v="0"/>
    <s v="1"/>
    <s v="002485"/>
    <s v="TM05006667"/>
    <s v="SMBS0050549A"/>
    <n v="1"/>
    <s v="1"/>
    <s v="0"/>
    <x v="0"/>
    <x v="0"/>
  </r>
  <r>
    <s v="33"/>
    <s v=" TIM - GPON RJO"/>
    <s v="10853018"/>
    <s v="-"/>
    <x v="0"/>
    <s v="1"/>
    <s v="002612"/>
    <s v="TM04017341"/>
    <s v="TLCTBE88F690"/>
    <n v="1"/>
    <s v="1"/>
    <s v="0"/>
    <x v="0"/>
    <x v="0"/>
  </r>
  <r>
    <s v="33"/>
    <s v=" TIM - GPON RJO"/>
    <s v="10863529"/>
    <s v="-"/>
    <x v="0"/>
    <s v="1"/>
    <s v="002793"/>
    <s v="TM05006667"/>
    <s v="SMBS04003A9F"/>
    <n v="1"/>
    <s v="1"/>
    <s v="0"/>
    <x v="0"/>
    <x v="0"/>
  </r>
  <r>
    <s v="33"/>
    <s v=" TIM - GPON RJO"/>
    <s v="10850893"/>
    <s v="-"/>
    <x v="0"/>
    <s v="1"/>
    <s v="002963"/>
    <s v="TM05006667"/>
    <s v="SMBS04006C41"/>
    <n v="1"/>
    <s v="1"/>
    <s v="0"/>
    <x v="0"/>
    <x v="0"/>
  </r>
  <r>
    <s v="33"/>
    <s v=" TIM - GPON RJO"/>
    <s v="10877401"/>
    <s v="-"/>
    <x v="0"/>
    <s v="1"/>
    <s v="003045"/>
    <s v="TM05006667"/>
    <s v="SMBS00503F56"/>
    <n v="1"/>
    <s v="1"/>
    <s v="0"/>
    <x v="0"/>
    <x v="0"/>
  </r>
  <r>
    <s v="33"/>
    <s v=" TIM - GPON RJO"/>
    <s v="10872599"/>
    <s v="-"/>
    <x v="0"/>
    <s v="1"/>
    <s v="003045"/>
    <s v="TM05006667"/>
    <s v="SMBS00509E87"/>
    <n v="1"/>
    <s v="1"/>
    <s v="0"/>
    <x v="0"/>
    <x v="0"/>
  </r>
  <r>
    <s v="33"/>
    <s v=" TIM - GPON RJO"/>
    <s v="10874421"/>
    <s v="-"/>
    <x v="0"/>
    <s v="1"/>
    <s v="003045"/>
    <s v="TM05006667"/>
    <s v="SMBS005388D9"/>
    <n v="1"/>
    <s v="1"/>
    <s v="0"/>
    <x v="0"/>
    <x v="0"/>
  </r>
  <r>
    <s v="33"/>
    <s v=" TIM - GPON RJO"/>
    <s v="10846722"/>
    <s v="-"/>
    <x v="0"/>
    <s v="1"/>
    <s v="003082"/>
    <s v="TM04017341"/>
    <s v="TLCTBE88BC50"/>
    <n v="1"/>
    <s v="1"/>
    <s v="0"/>
    <x v="0"/>
    <x v="0"/>
  </r>
  <r>
    <s v="33"/>
    <s v=" TIM - GPON RJO"/>
    <s v="10867845"/>
    <s v="-"/>
    <x v="0"/>
    <s v="1"/>
    <s v="003082"/>
    <s v="TM05006667"/>
    <s v="SMBS00500319"/>
    <n v="1"/>
    <s v="1"/>
    <s v="0"/>
    <x v="0"/>
    <x v="0"/>
  </r>
  <r>
    <s v="33"/>
    <s v=" TIM - GPON RJO"/>
    <s v="10872469"/>
    <s v="-"/>
    <x v="0"/>
    <s v="1"/>
    <s v="003108"/>
    <s v="TM05006667"/>
    <s v="SMBS00533C93"/>
    <n v="1"/>
    <s v="1"/>
    <s v="0"/>
    <x v="0"/>
    <x v="0"/>
  </r>
  <r>
    <s v="33"/>
    <s v=" TIM - GPON RJO"/>
    <s v="10872132"/>
    <s v="-"/>
    <x v="0"/>
    <s v="1"/>
    <s v="003108"/>
    <s v="TM05006667"/>
    <s v="SMBS040055E6"/>
    <n v="1"/>
    <s v="1"/>
    <s v="0"/>
    <x v="0"/>
    <x v="0"/>
  </r>
  <r>
    <s v="33"/>
    <s v=" TIM - GPON RJO"/>
    <s v="10842910"/>
    <s v="-"/>
    <x v="0"/>
    <s v="1"/>
    <s v="003281"/>
    <s v="TM05006667"/>
    <s v="SMBS0400005F"/>
    <n v="1"/>
    <s v="1"/>
    <s v="0"/>
    <x v="0"/>
    <x v="0"/>
  </r>
  <r>
    <s v="33"/>
    <s v=" TIM - GPON RJO"/>
    <s v="10878817"/>
    <s v="-"/>
    <x v="0"/>
    <s v="1"/>
    <s v="003335"/>
    <s v="TM05006667"/>
    <s v="SMBS004FDA05"/>
    <n v="1"/>
    <s v="1"/>
    <s v="0"/>
    <x v="0"/>
    <x v="0"/>
  </r>
  <r>
    <s v="33"/>
    <s v=" TIM - GPON RJO"/>
    <s v="10873129"/>
    <s v="-"/>
    <x v="0"/>
    <s v="1"/>
    <s v="003354"/>
    <s v="TM05006716"/>
    <s v="KAON09023685"/>
    <n v="1"/>
    <s v="1"/>
    <s v="0"/>
    <x v="0"/>
    <x v="0"/>
  </r>
  <r>
    <s v="33"/>
    <s v=" TIM - GPON RJO"/>
    <s v="10861439"/>
    <s v="-"/>
    <x v="0"/>
    <s v="1"/>
    <s v="003582"/>
    <s v="TM05006667"/>
    <s v="SMBS00536D45"/>
    <n v="1"/>
    <s v="1"/>
    <s v="0"/>
    <x v="0"/>
    <x v="0"/>
  </r>
  <r>
    <s v="33"/>
    <s v=" TIM - GPON RJO"/>
    <s v="10864968"/>
    <s v="-"/>
    <x v="0"/>
    <s v="1"/>
    <s v="003582"/>
    <s v="TM05006716"/>
    <s v="KAON09010A45"/>
    <n v="1"/>
    <s v="1"/>
    <s v="0"/>
    <x v="0"/>
    <x v="0"/>
  </r>
  <r>
    <s v="33"/>
    <s v=" TIM - GPON RJO"/>
    <s v="10870542"/>
    <s v="-"/>
    <x v="0"/>
    <s v="1"/>
    <s v="003986"/>
    <s v="TM05006667"/>
    <s v="SMBS0050199D"/>
    <n v="1"/>
    <s v="1"/>
    <s v="0"/>
    <x v="0"/>
    <x v="0"/>
  </r>
  <r>
    <s v="33"/>
    <s v=" TIM - GPON RJO"/>
    <s v="10875056"/>
    <s v="-"/>
    <x v="0"/>
    <s v="1"/>
    <s v="004132"/>
    <s v="TM05006716"/>
    <s v="KAON0900010C"/>
    <n v="1"/>
    <s v="1"/>
    <s v="0"/>
    <x v="0"/>
    <x v="0"/>
  </r>
  <r>
    <s v="33"/>
    <s v=" TIM - GPON RJO"/>
    <s v="10867945"/>
    <s v="-"/>
    <x v="0"/>
    <s v="1"/>
    <s v="004162"/>
    <s v="TM05006667"/>
    <s v="SMBS00502753"/>
    <n v="1"/>
    <s v="1"/>
    <s v="0"/>
    <x v="0"/>
    <x v="0"/>
  </r>
  <r>
    <s v="33"/>
    <s v=" TIM - GPON RJO"/>
    <s v="10845895"/>
    <s v="-"/>
    <x v="0"/>
    <s v="1"/>
    <s v="004376"/>
    <s v="TM05006716"/>
    <s v="KAON090097F4"/>
    <n v="1"/>
    <s v="1"/>
    <s v="0"/>
    <x v="0"/>
    <x v="0"/>
  </r>
  <r>
    <s v="33"/>
    <s v=" TIM - GPON RJO"/>
    <s v="10864698"/>
    <s v="-"/>
    <x v="0"/>
    <s v="1"/>
    <s v="004387"/>
    <s v="TM05006667"/>
    <s v="SMBS0066EC22"/>
    <n v="1"/>
    <s v="1"/>
    <s v="0"/>
    <x v="0"/>
    <x v="0"/>
  </r>
  <r>
    <s v="33"/>
    <s v=" TIM - GPON RJO"/>
    <s v="10865441"/>
    <s v="-"/>
    <x v="0"/>
    <s v="1"/>
    <s v="004387"/>
    <s v="TM05006667"/>
    <s v="SMBS0053800B"/>
    <n v="1"/>
    <s v="1"/>
    <s v="0"/>
    <x v="0"/>
    <x v="0"/>
  </r>
  <r>
    <s v="33"/>
    <s v=" TIM - GPON RJO"/>
    <s v="10873901"/>
    <s v="-"/>
    <x v="0"/>
    <s v="1"/>
    <s v="004390"/>
    <s v="TM05006667"/>
    <s v="SMBS004FDF50"/>
    <n v="1"/>
    <s v="1"/>
    <s v="0"/>
    <x v="0"/>
    <x v="0"/>
  </r>
  <r>
    <s v="33"/>
    <s v=" TIM - GPON RJO"/>
    <s v="10873112"/>
    <s v="-"/>
    <x v="0"/>
    <s v="1"/>
    <s v="004390"/>
    <s v="TM05006667"/>
    <s v="SMBS004FDD72"/>
    <n v="1"/>
    <s v="1"/>
    <s v="0"/>
    <x v="0"/>
    <x v="0"/>
  </r>
  <r>
    <s v="33"/>
    <s v=" TIM - GPON RJO"/>
    <s v="10869968"/>
    <s v="-"/>
    <x v="0"/>
    <s v="1"/>
    <s v="004417"/>
    <s v="TM05006667"/>
    <s v="SMBS005017D2"/>
    <n v="1"/>
    <s v="1"/>
    <s v="0"/>
    <x v="0"/>
    <x v="0"/>
  </r>
  <r>
    <s v="33"/>
    <s v=" TIM - GPON RJO"/>
    <s v="10871111"/>
    <s v="-"/>
    <x v="0"/>
    <s v="1"/>
    <s v="004463"/>
    <s v="TM05006716"/>
    <s v="KAON0901E4D4"/>
    <n v="1"/>
    <s v="1"/>
    <s v="0"/>
    <x v="0"/>
    <x v="0"/>
  </r>
  <r>
    <s v="33"/>
    <s v=" TIM - GPON RJO"/>
    <s v="10841579"/>
    <s v="-"/>
    <x v="0"/>
    <s v="1"/>
    <s v="004482"/>
    <s v="TM05006716"/>
    <s v="KAON090222C0"/>
    <n v="1"/>
    <s v="1"/>
    <s v="0"/>
    <x v="0"/>
    <x v="0"/>
  </r>
  <r>
    <s v="33"/>
    <s v=" TIM - GPON RJO"/>
    <s v="10877248"/>
    <s v="-"/>
    <x v="0"/>
    <s v="1"/>
    <s v="004482"/>
    <s v="TM05006851"/>
    <s v="FTTH0AB550E0"/>
    <n v="1"/>
    <s v="1"/>
    <s v="0"/>
    <x v="0"/>
    <x v="0"/>
  </r>
  <r>
    <s v="33"/>
    <s v=" TIM - GPON RJO"/>
    <s v="10878859"/>
    <s v="-"/>
    <x v="0"/>
    <s v="1"/>
    <s v="004505"/>
    <s v="TM04017341"/>
    <s v="TLCTBE891550"/>
    <n v="1"/>
    <s v="1"/>
    <s v="0"/>
    <x v="0"/>
    <x v="0"/>
  </r>
  <r>
    <s v="33"/>
    <s v=" TIM - GPON RJO"/>
    <s v="10872271"/>
    <s v="-"/>
    <x v="0"/>
    <s v="1"/>
    <s v="004518"/>
    <s v="TM05006716"/>
    <s v="KAON090121E7"/>
    <n v="1"/>
    <s v="1"/>
    <s v="0"/>
    <x v="0"/>
    <x v="0"/>
  </r>
  <r>
    <s v="33"/>
    <s v=" TIM - GPON RJO"/>
    <s v="10887478"/>
    <s v="-"/>
    <x v="0"/>
    <s v="1"/>
    <s v="004615"/>
    <s v="TM04017341"/>
    <s v="TLCTBE890B60"/>
    <n v="1"/>
    <s v="1"/>
    <s v="0"/>
    <x v="0"/>
    <x v="0"/>
  </r>
  <r>
    <s v="33"/>
    <s v=" TIM - GPON RJO"/>
    <s v="10853080"/>
    <s v="-"/>
    <x v="0"/>
    <s v="1"/>
    <s v="004615"/>
    <s v="TM05006667"/>
    <s v="SMBS0066AFFC"/>
    <n v="1"/>
    <s v="1"/>
    <s v="0"/>
    <x v="0"/>
    <x v="0"/>
  </r>
  <r>
    <s v="33"/>
    <s v=" TIM - GPON RJO"/>
    <s v="10883710"/>
    <s v="-"/>
    <x v="0"/>
    <s v="1"/>
    <s v="004648"/>
    <s v="TM05006667"/>
    <s v="SMBS0057DC2A"/>
    <n v="1"/>
    <s v="1"/>
    <s v="0"/>
    <x v="0"/>
    <x v="0"/>
  </r>
  <r>
    <s v="33"/>
    <s v=" TIM - GPON RJO"/>
    <s v="10882663"/>
    <s v="-"/>
    <x v="0"/>
    <s v="1"/>
    <s v="004707"/>
    <s v="TM05006716"/>
    <s v="KAON090181E8"/>
    <n v="1"/>
    <s v="1"/>
    <s v="0"/>
    <x v="0"/>
    <x v="0"/>
  </r>
  <r>
    <s v="33"/>
    <s v=" TIM - GPON RJO"/>
    <s v="10877568"/>
    <s v="-"/>
    <x v="0"/>
    <s v="1"/>
    <s v="004707"/>
    <s v="TM05006716"/>
    <s v="KAON0901A7EA"/>
    <n v="1"/>
    <s v="1"/>
    <s v="0"/>
    <x v="0"/>
    <x v="0"/>
  </r>
  <r>
    <s v="33"/>
    <s v=" TIM - GPON RJO"/>
    <s v="10856129"/>
    <s v="-"/>
    <x v="0"/>
    <s v="1"/>
    <s v="004710"/>
    <s v="TM04017341"/>
    <s v="TLCTBE88E590"/>
    <n v="1"/>
    <s v="1"/>
    <s v="0"/>
    <x v="0"/>
    <x v="0"/>
  </r>
  <r>
    <s v="33"/>
    <s v=" TIM - GPON RJO"/>
    <s v="10866354"/>
    <s v="-"/>
    <x v="0"/>
    <s v="1"/>
    <s v="004725"/>
    <s v="TM05006667"/>
    <s v="SMBS00502E17"/>
    <n v="1"/>
    <s v="1"/>
    <s v="0"/>
    <x v="0"/>
    <x v="0"/>
  </r>
  <r>
    <s v="33"/>
    <s v=" TIM - GPON RJO"/>
    <s v="10877106"/>
    <s v="-"/>
    <x v="0"/>
    <s v="1"/>
    <s v="004725"/>
    <s v="TM05006716"/>
    <s v="KAON0901A4FE"/>
    <n v="1"/>
    <s v="1"/>
    <s v="0"/>
    <x v="0"/>
    <x v="0"/>
  </r>
  <r>
    <s v="33"/>
    <s v=" TIM - GPON RJO"/>
    <s v="10880215"/>
    <s v="-"/>
    <x v="0"/>
    <s v="1"/>
    <s v="004755"/>
    <s v="TM05006667"/>
    <s v="SMBS00509B4B"/>
    <n v="1"/>
    <s v="1"/>
    <s v="0"/>
    <x v="0"/>
    <x v="0"/>
  </r>
  <r>
    <s v="33"/>
    <s v=" TIM - GPON RJO"/>
    <s v="10884580"/>
    <s v="-"/>
    <x v="0"/>
    <s v="1"/>
    <s v="004755"/>
    <s v="TM05006667"/>
    <s v="SMBS00535DDB"/>
    <n v="1"/>
    <s v="1"/>
    <s v="0"/>
    <x v="0"/>
    <x v="0"/>
  </r>
  <r>
    <s v="33"/>
    <s v=" TIM - GPON RJO"/>
    <s v="10872373"/>
    <s v="-"/>
    <x v="0"/>
    <s v="1"/>
    <s v="104874"/>
    <s v="TM05006716"/>
    <s v="KAON09012634"/>
    <n v="1"/>
    <s v="1"/>
    <s v="0"/>
    <x v="0"/>
    <x v="0"/>
  </r>
  <r>
    <s v="33"/>
    <s v=" TIM - GPON RJO"/>
    <s v="10855053"/>
    <s v="-"/>
    <x v="0"/>
    <s v="1"/>
    <s v="104978"/>
    <s v="TM05006716"/>
    <s v="KAON0901EEF6"/>
    <n v="1"/>
    <s v="1"/>
    <s v="0"/>
    <x v="0"/>
    <x v="0"/>
  </r>
  <r>
    <s v="33"/>
    <s v=" TIM - GPON RJO"/>
    <s v="10875955"/>
    <s v="-"/>
    <x v="0"/>
    <s v="1"/>
    <s v="105016"/>
    <s v="TM05006667"/>
    <s v="SMBS005F8AAA"/>
    <n v="1"/>
    <s v="1"/>
    <s v="0"/>
    <x v="0"/>
    <x v="0"/>
  </r>
  <r>
    <s v="33"/>
    <s v=" TIM - GPON RJO"/>
    <s v="10840596"/>
    <s v="-"/>
    <x v="0"/>
    <s v="1"/>
    <s v="105019"/>
    <s v="TM05006667"/>
    <s v="SMBS040042E1"/>
    <n v="1"/>
    <s v="1"/>
    <s v="0"/>
    <x v="0"/>
    <x v="0"/>
  </r>
  <r>
    <s v="33"/>
    <s v=" TIM - GPON RJO"/>
    <s v="10884213"/>
    <s v="-"/>
    <x v="0"/>
    <s v="1"/>
    <s v="105054"/>
    <s v="TM05006667"/>
    <s v="SMBS00538340"/>
    <n v="1"/>
    <s v="1"/>
    <s v="0"/>
    <x v="0"/>
    <x v="0"/>
  </r>
  <r>
    <s v="33"/>
    <s v=" TIM - GPON RJO"/>
    <s v="10884139"/>
    <s v="-"/>
    <x v="0"/>
    <s v="1"/>
    <s v="105054"/>
    <s v="TM05006667"/>
    <s v="SMBS0053765D"/>
    <n v="1"/>
    <s v="1"/>
    <s v="0"/>
    <x v="0"/>
    <x v="0"/>
  </r>
  <r>
    <s v="33"/>
    <s v=" TIM - GPON RJO"/>
    <s v="10877722"/>
    <s v="-"/>
    <x v="0"/>
    <s v="1"/>
    <s v="105054"/>
    <s v="TM05006716"/>
    <s v="KAON0901AD85"/>
    <n v="1"/>
    <s v="1"/>
    <s v="0"/>
    <x v="0"/>
    <x v="0"/>
  </r>
  <r>
    <s v="33"/>
    <s v=" TIM - GPON RJO"/>
    <s v="10877676"/>
    <s v="-"/>
    <x v="0"/>
    <s v="1"/>
    <s v="105055"/>
    <s v="TM05006667"/>
    <s v="SMBS00670BA1"/>
    <n v="1"/>
    <s v="1"/>
    <s v="0"/>
    <x v="0"/>
    <x v="0"/>
  </r>
  <r>
    <s v="33"/>
    <s v=" TIM - GPON RJO"/>
    <s v="10869714"/>
    <s v="-"/>
    <x v="0"/>
    <s v="1"/>
    <s v="105055"/>
    <s v="TM05006716"/>
    <s v="KAON09026DCE"/>
    <n v="1"/>
    <s v="1"/>
    <s v="0"/>
    <x v="0"/>
    <x v="0"/>
  </r>
  <r>
    <s v="33"/>
    <s v=" TIM - GPON RJO"/>
    <s v="10842534"/>
    <s v="-"/>
    <x v="0"/>
    <s v="1"/>
    <s v="105055"/>
    <s v="TM05006716"/>
    <s v="KAON09020A8A"/>
    <n v="1"/>
    <s v="1"/>
    <s v="0"/>
    <x v="0"/>
    <x v="0"/>
  </r>
  <r>
    <s v="33"/>
    <s v=" TIM - GPON RJO"/>
    <s v="10850376"/>
    <s v="-"/>
    <x v="0"/>
    <s v="1"/>
    <s v="105055"/>
    <s v="TM05006851"/>
    <s v="FTTH098FEBD0"/>
    <n v="1"/>
    <s v="1"/>
    <s v="0"/>
    <x v="0"/>
    <x v="0"/>
  </r>
  <r>
    <s v="33"/>
    <s v=" TIM - GPON RJO"/>
    <s v="10873400"/>
    <s v="-"/>
    <x v="0"/>
    <s v="1"/>
    <s v="105060"/>
    <s v="TM05006667"/>
    <s v="SMBS040005B0"/>
    <n v="1"/>
    <s v="1"/>
    <s v="0"/>
    <x v="0"/>
    <x v="0"/>
  </r>
  <r>
    <s v="33"/>
    <s v=" TIM - GPON RJO"/>
    <s v="10885260"/>
    <s v="-"/>
    <x v="0"/>
    <s v="1"/>
    <s v="105062"/>
    <s v="TM05006716"/>
    <s v="KAON09027E52"/>
    <n v="1"/>
    <s v="1"/>
    <s v="0"/>
    <x v="0"/>
    <x v="0"/>
  </r>
  <r>
    <s v="33"/>
    <s v=" TIM - GPON RJO"/>
    <s v="10838526"/>
    <s v="-"/>
    <x v="0"/>
    <s v="1"/>
    <s v="105068"/>
    <s v="TM05006667"/>
    <s v="SMBS00534B08"/>
    <n v="1"/>
    <s v="1"/>
    <s v="0"/>
    <x v="0"/>
    <x v="0"/>
  </r>
  <r>
    <s v="33"/>
    <s v=" TIM - GPON RJO"/>
    <s v="10879217"/>
    <s v="-"/>
    <x v="0"/>
    <s v="1"/>
    <s v="105076"/>
    <s v="TM05006716"/>
    <s v="KAON090034B6"/>
    <n v="1"/>
    <s v="1"/>
    <s v="0"/>
    <x v="0"/>
    <x v="0"/>
  </r>
  <r>
    <s v="33"/>
    <s v=" TIM - GPON RJO"/>
    <s v="10871051"/>
    <s v="-"/>
    <x v="0"/>
    <s v="1"/>
    <s v="106007"/>
    <s v="TM05006716"/>
    <s v="KAON09006FFF"/>
    <n v="1"/>
    <s v="1"/>
    <s v="0"/>
    <x v="0"/>
    <x v="0"/>
  </r>
  <r>
    <s v="33"/>
    <s v=" TIM - GPON RJO"/>
    <s v="10879931"/>
    <s v="-"/>
    <x v="0"/>
    <s v="1"/>
    <s v="106038"/>
    <s v="TM05006667"/>
    <s v="SMBS005362D8"/>
    <n v="1"/>
    <s v="1"/>
    <s v="0"/>
    <x v="0"/>
    <x v="0"/>
  </r>
  <r>
    <s v="33"/>
    <s v=" TIM - GPON RJO"/>
    <s v="10879171"/>
    <s v="-"/>
    <x v="0"/>
    <s v="1"/>
    <s v="106039"/>
    <s v="TM05006716"/>
    <s v="KAON090242A7"/>
    <n v="1"/>
    <s v="1"/>
    <s v="0"/>
    <x v="0"/>
    <x v="0"/>
  </r>
  <r>
    <s v="33"/>
    <s v=" TIM - GPON RJO"/>
    <s v="10881156"/>
    <s v="-"/>
    <x v="0"/>
    <s v="1"/>
    <s v="106043"/>
    <s v="TM05006716"/>
    <s v="KAON0901A53C"/>
    <n v="1"/>
    <s v="1"/>
    <s v="0"/>
    <x v="0"/>
    <x v="0"/>
  </r>
  <r>
    <s v="33"/>
    <s v=" TIM - GPON RJO"/>
    <s v="10860441"/>
    <s v="-"/>
    <x v="0"/>
    <s v="1"/>
    <s v="106047"/>
    <s v="TM05006716"/>
    <s v="KAON090092A0"/>
    <n v="1"/>
    <s v="1"/>
    <s v="0"/>
    <x v="0"/>
    <x v="0"/>
  </r>
  <r>
    <s v="33"/>
    <s v=" TIM - GPON RJO"/>
    <s v="10809082"/>
    <s v="-"/>
    <x v="0"/>
    <s v="1"/>
    <s v="106049"/>
    <s v="TM05006667"/>
    <s v="SMBS006705FF"/>
    <n v="1"/>
    <s v="1"/>
    <s v="0"/>
    <x v="0"/>
    <x v="0"/>
  </r>
  <r>
    <s v="33"/>
    <s v=" TIM - GPON RJO"/>
    <s v="10872769"/>
    <s v="-"/>
    <x v="0"/>
    <s v="1"/>
    <s v="230205"/>
    <s v="TM05006667"/>
    <s v="SMBS0400E691"/>
    <n v="1"/>
    <s v="1"/>
    <s v="0"/>
    <x v="0"/>
    <x v="0"/>
  </r>
  <r>
    <s v="33"/>
    <s v=" TIM - GPON RJO"/>
    <s v="10845510"/>
    <s v="-"/>
    <x v="0"/>
    <s v="1"/>
    <s v="700062"/>
    <s v="TM05006716"/>
    <s v="KAON0901BBB8"/>
    <n v="1"/>
    <s v="1"/>
    <s v="0"/>
    <x v="0"/>
    <x v="0"/>
  </r>
  <r>
    <s v="33"/>
    <s v=" TIM - GPON RJO"/>
    <s v="10876507"/>
    <s v="-"/>
    <x v="0"/>
    <s v="1"/>
    <s v="700080"/>
    <s v="TM05006667"/>
    <s v="SMBS00535B08"/>
    <n v="1"/>
    <s v="1"/>
    <s v="0"/>
    <x v="0"/>
    <x v="0"/>
  </r>
  <r>
    <s v="33"/>
    <s v=" TIM - GPON RJO"/>
    <s v="10840325"/>
    <s v="-"/>
    <x v="0"/>
    <s v="1"/>
    <s v="700092"/>
    <s v="TM05006667"/>
    <s v="SMBS0066EA96"/>
    <n v="1"/>
    <s v="1"/>
    <s v="0"/>
    <x v="0"/>
    <x v="0"/>
  </r>
  <r>
    <s v="33"/>
    <s v=" TIM - GPON RJO"/>
    <s v="10874540"/>
    <s v="-"/>
    <x v="0"/>
    <s v="1"/>
    <s v="700092"/>
    <s v="TM05006667"/>
    <s v="SMBS00539238"/>
    <n v="1"/>
    <s v="1"/>
    <s v="0"/>
    <x v="0"/>
    <x v="0"/>
  </r>
  <r>
    <s v="33"/>
    <s v=" TIM - GPON RJO"/>
    <s v="10874756"/>
    <s v="-"/>
    <x v="0"/>
    <s v="1"/>
    <s v="700092"/>
    <s v="TM05006667"/>
    <s v="SMBS00509089"/>
    <n v="1"/>
    <s v="1"/>
    <s v="0"/>
    <x v="0"/>
    <x v="0"/>
  </r>
  <r>
    <s v="33"/>
    <s v=" TIM - GPON RJO"/>
    <s v="10872953"/>
    <s v="-"/>
    <x v="0"/>
    <s v="1"/>
    <s v="700102"/>
    <s v="TM04015878"/>
    <s v="BCSK48A0E568"/>
    <n v="1"/>
    <s v="1"/>
    <s v="0"/>
    <x v="0"/>
    <x v="0"/>
  </r>
  <r>
    <s v="33"/>
    <s v=" TIM - GPON RJO"/>
    <s v="10877498"/>
    <s v="-"/>
    <x v="0"/>
    <s v="1"/>
    <s v="700102"/>
    <s v="TM05006667"/>
    <s v="SMBS00538C16"/>
    <n v="1"/>
    <s v="1"/>
    <s v="0"/>
    <x v="0"/>
    <x v="0"/>
  </r>
  <r>
    <s v="33"/>
    <s v=" TIM - GPON RJO"/>
    <s v="10874454"/>
    <s v="-"/>
    <x v="0"/>
    <s v="1"/>
    <s v="700102"/>
    <s v="TM05006667"/>
    <s v="SMBS00536E70"/>
    <n v="1"/>
    <s v="1"/>
    <s v="0"/>
    <x v="0"/>
    <x v="0"/>
  </r>
  <r>
    <s v="33"/>
    <s v=" TIM - GPON RJO"/>
    <s v="10861873"/>
    <s v="-"/>
    <x v="0"/>
    <s v="1"/>
    <s v="700106"/>
    <s v="TM05006716"/>
    <s v="KAON09020D0A"/>
    <n v="1"/>
    <s v="1"/>
    <s v="0"/>
    <x v="0"/>
    <x v="0"/>
  </r>
  <r>
    <s v="33"/>
    <s v=" TIM - GPON RJO"/>
    <s v="10869640"/>
    <s v="-"/>
    <x v="0"/>
    <s v="1"/>
    <s v="700108"/>
    <s v="TM05006667"/>
    <s v="SMBS00535E37"/>
    <n v="1"/>
    <s v="1"/>
    <s v="0"/>
    <x v="0"/>
    <x v="0"/>
  </r>
  <r>
    <s v="33"/>
    <s v=" TIM - GPON RJO"/>
    <s v="10870983"/>
    <s v="-"/>
    <x v="0"/>
    <s v="1"/>
    <s v="700108"/>
    <s v="TM05006716"/>
    <s v="KAON0901999F"/>
    <n v="1"/>
    <s v="1"/>
    <s v="0"/>
    <x v="0"/>
    <x v="0"/>
  </r>
  <r>
    <s v="33"/>
    <s v=" TIM - GPON RJO"/>
    <s v="10824891"/>
    <s v="-"/>
    <x v="1"/>
    <s v="1"/>
    <s v="002438"/>
    <s v="TM05006716"/>
    <s v="KAON0901F568"/>
    <n v="1"/>
    <s v="1"/>
    <s v="0"/>
    <x v="0"/>
    <x v="0"/>
  </r>
  <r>
    <s v="33"/>
    <s v=" TIM - GPON RJO"/>
    <s v="10895093"/>
    <s v="-"/>
    <x v="1"/>
    <s v="1"/>
    <s v="002526"/>
    <s v="TM05006716"/>
    <s v="KAON09013173"/>
    <n v="1"/>
    <s v="1"/>
    <s v="0"/>
    <x v="0"/>
    <x v="0"/>
  </r>
  <r>
    <s v="33"/>
    <s v=" TIM - GPON RJO"/>
    <s v="10883883"/>
    <s v="-"/>
    <x v="1"/>
    <s v="1"/>
    <s v="003044"/>
    <s v="TM04017341"/>
    <s v="TLCTBE8909C0"/>
    <n v="1"/>
    <s v="1"/>
    <s v="0"/>
    <x v="0"/>
    <x v="0"/>
  </r>
  <r>
    <s v="33"/>
    <s v=" TIM - GPON RJO"/>
    <s v="10848606"/>
    <s v="-"/>
    <x v="1"/>
    <s v="1"/>
    <s v="003044"/>
    <s v="TM05006667"/>
    <s v="SMBS005353B8"/>
    <n v="1"/>
    <s v="1"/>
    <s v="0"/>
    <x v="0"/>
    <x v="0"/>
  </r>
  <r>
    <s v="33"/>
    <s v=" TIM - GPON RJO"/>
    <s v="10841038"/>
    <s v="-"/>
    <x v="1"/>
    <s v="1"/>
    <s v="003044"/>
    <s v="TM05006667"/>
    <s v="SMBS0066FFC2"/>
    <n v="1"/>
    <s v="1"/>
    <s v="0"/>
    <x v="0"/>
    <x v="0"/>
  </r>
  <r>
    <s v="33"/>
    <s v=" TIM - GPON RJO"/>
    <s v="10872034"/>
    <s v="-"/>
    <x v="1"/>
    <s v="1"/>
    <s v="003045"/>
    <s v="TM05006667"/>
    <s v="SMBS005F8ADB"/>
    <n v="1"/>
    <s v="1"/>
    <s v="0"/>
    <x v="0"/>
    <x v="0"/>
  </r>
  <r>
    <s v="33"/>
    <s v=" TIM - GPON RJO"/>
    <s v="10867382"/>
    <s v="-"/>
    <x v="1"/>
    <s v="1"/>
    <s v="003045"/>
    <s v="TM05006667"/>
    <s v="SMBS0052D1E1"/>
    <n v="1"/>
    <s v="1"/>
    <s v="0"/>
    <x v="0"/>
    <x v="0"/>
  </r>
  <r>
    <s v="33"/>
    <s v=" TIM - GPON RJO"/>
    <s v="10846618"/>
    <s v="-"/>
    <x v="1"/>
    <s v="1"/>
    <s v="003108"/>
    <s v="TM05006716"/>
    <s v="KAON09007E41"/>
    <n v="1"/>
    <s v="1"/>
    <s v="0"/>
    <x v="0"/>
    <x v="0"/>
  </r>
  <r>
    <s v="33"/>
    <s v=" TIM - GPON RJO"/>
    <s v="10897838"/>
    <s v="-"/>
    <x v="1"/>
    <s v="1"/>
    <s v="003108"/>
    <s v="TM05006716"/>
    <s v="KAON0902768C"/>
    <n v="1"/>
    <s v="1"/>
    <s v="0"/>
    <x v="0"/>
    <x v="0"/>
  </r>
  <r>
    <s v="33"/>
    <s v=" TIM - GPON RJO"/>
    <s v="10893617"/>
    <s v="-"/>
    <x v="1"/>
    <s v="1"/>
    <s v="003329"/>
    <s v="TM05006667"/>
    <s v="SMBS0050073D"/>
    <n v="1"/>
    <s v="1"/>
    <s v="0"/>
    <x v="0"/>
    <x v="0"/>
  </r>
  <r>
    <s v="33"/>
    <s v=" TIM - GPON RJO"/>
    <s v="10864292"/>
    <s v="-"/>
    <x v="1"/>
    <s v="1"/>
    <s v="003354"/>
    <s v="TM05006667"/>
    <s v="SMBS005385F9"/>
    <n v="1"/>
    <s v="1"/>
    <s v="0"/>
    <x v="0"/>
    <x v="0"/>
  </r>
  <r>
    <s v="33"/>
    <s v=" TIM - GPON RJO"/>
    <s v="10877972"/>
    <s v="-"/>
    <x v="1"/>
    <s v="1"/>
    <s v="003354"/>
    <s v="TM05006667"/>
    <s v="SMBS004FEF85"/>
    <n v="1"/>
    <s v="1"/>
    <s v="0"/>
    <x v="0"/>
    <x v="0"/>
  </r>
  <r>
    <s v="33"/>
    <s v=" TIM - GPON RJO"/>
    <s v="10877478"/>
    <s v="-"/>
    <x v="1"/>
    <s v="1"/>
    <s v="003582"/>
    <s v="TM05006667"/>
    <s v="SMBS004FE1CE"/>
    <n v="1"/>
    <s v="1"/>
    <s v="0"/>
    <x v="0"/>
    <x v="0"/>
  </r>
  <r>
    <s v="33"/>
    <s v=" TIM - GPON RJO"/>
    <s v="10878432"/>
    <s v="-"/>
    <x v="1"/>
    <s v="1"/>
    <s v="003697"/>
    <s v="TM04017341"/>
    <s v="TLCTBE890D00"/>
    <n v="1"/>
    <s v="1"/>
    <s v="0"/>
    <x v="0"/>
    <x v="0"/>
  </r>
  <r>
    <s v="33"/>
    <s v=" TIM - GPON RJO"/>
    <s v="10837442"/>
    <s v="-"/>
    <x v="1"/>
    <s v="1"/>
    <s v="003697"/>
    <s v="TM04017341"/>
    <s v="TLCTBE890A50"/>
    <n v="1"/>
    <s v="1"/>
    <s v="0"/>
    <x v="0"/>
    <x v="0"/>
  </r>
  <r>
    <s v="33"/>
    <s v=" TIM - GPON RJO"/>
    <s v="10884523"/>
    <s v="-"/>
    <x v="1"/>
    <s v="1"/>
    <s v="003697"/>
    <s v="TM05006716"/>
    <s v="KAON0901B2E3"/>
    <n v="1"/>
    <s v="1"/>
    <s v="0"/>
    <x v="0"/>
    <x v="0"/>
  </r>
  <r>
    <s v="33"/>
    <s v=" TIM - GPON RJO"/>
    <s v="10894294"/>
    <s v="-"/>
    <x v="1"/>
    <s v="1"/>
    <s v="004376"/>
    <s v="TM05006667"/>
    <s v="SMBS00538243"/>
    <n v="1"/>
    <s v="1"/>
    <s v="0"/>
    <x v="0"/>
    <x v="0"/>
  </r>
  <r>
    <s v="33"/>
    <s v=" TIM - GPON RJO"/>
    <s v="10895815"/>
    <s v="-"/>
    <x v="1"/>
    <s v="1"/>
    <s v="004390"/>
    <s v="TM05006667"/>
    <s v="SMBS04002CEB"/>
    <n v="1"/>
    <s v="1"/>
    <s v="0"/>
    <x v="0"/>
    <x v="0"/>
  </r>
  <r>
    <s v="33"/>
    <s v=" TIM - GPON RJO"/>
    <s v="10827938"/>
    <s v="-"/>
    <x v="1"/>
    <s v="1"/>
    <s v="004462"/>
    <s v="TM05006667"/>
    <s v="SMBS0400C9CC"/>
    <n v="1"/>
    <s v="1"/>
    <s v="0"/>
    <x v="0"/>
    <x v="0"/>
  </r>
  <r>
    <s v="33"/>
    <s v=" TIM - GPON RJO"/>
    <s v="10841558"/>
    <s v="-"/>
    <x v="1"/>
    <s v="1"/>
    <s v="004462"/>
    <s v="TM05006667"/>
    <s v="SMBS00537817"/>
    <n v="1"/>
    <s v="1"/>
    <s v="0"/>
    <x v="0"/>
    <x v="0"/>
  </r>
  <r>
    <s v="33"/>
    <s v=" TIM - GPON RJO"/>
    <s v="10842893"/>
    <s v="-"/>
    <x v="1"/>
    <s v="1"/>
    <s v="004463"/>
    <s v="TM05006667"/>
    <s v="SMBS0057FF23"/>
    <n v="1"/>
    <s v="1"/>
    <s v="0"/>
    <x v="0"/>
    <x v="0"/>
  </r>
  <r>
    <s v="33"/>
    <s v=" TIM - GPON RJO"/>
    <s v="10878900"/>
    <s v="-"/>
    <x v="1"/>
    <s v="1"/>
    <s v="004482"/>
    <s v="TM05006667"/>
    <s v="SMBS040023C4"/>
    <n v="1"/>
    <s v="1"/>
    <s v="0"/>
    <x v="0"/>
    <x v="0"/>
  </r>
  <r>
    <s v="33"/>
    <s v=" TIM - GPON RJO"/>
    <s v="10888529"/>
    <s v="-"/>
    <x v="1"/>
    <s v="1"/>
    <s v="004482"/>
    <s v="TM05006716"/>
    <s v="KAON0901AE4B"/>
    <n v="1"/>
    <s v="1"/>
    <s v="0"/>
    <x v="0"/>
    <x v="0"/>
  </r>
  <r>
    <s v="33"/>
    <s v=" TIM - GPON RJO"/>
    <s v="10841180"/>
    <s v="-"/>
    <x v="1"/>
    <s v="1"/>
    <s v="004615"/>
    <s v="TM05006667"/>
    <s v="SMBS004A7419"/>
    <n v="1"/>
    <s v="1"/>
    <s v="0"/>
    <x v="0"/>
    <x v="0"/>
  </r>
  <r>
    <s v="33"/>
    <s v=" TIM - GPON RJO"/>
    <s v="10833278"/>
    <s v="-"/>
    <x v="1"/>
    <s v="1"/>
    <s v="004615"/>
    <s v="TM05006716"/>
    <s v="KAON090043D9"/>
    <n v="1"/>
    <s v="1"/>
    <s v="0"/>
    <x v="0"/>
    <x v="0"/>
  </r>
  <r>
    <s v="33"/>
    <s v=" TIM - GPON RJO"/>
    <s v="10897952"/>
    <s v="-"/>
    <x v="1"/>
    <s v="1"/>
    <s v="004617"/>
    <s v="TM05006716"/>
    <s v="KAON0901BA70"/>
    <n v="1"/>
    <s v="1"/>
    <s v="0"/>
    <x v="0"/>
    <x v="0"/>
  </r>
  <r>
    <s v="33"/>
    <s v=" TIM - GPON RJO"/>
    <s v="10871369"/>
    <s v="-"/>
    <x v="1"/>
    <s v="1"/>
    <s v="004707"/>
    <s v="TM05006667"/>
    <s v="SMBS0052D589"/>
    <n v="1"/>
    <s v="1"/>
    <s v="0"/>
    <x v="0"/>
    <x v="0"/>
  </r>
  <r>
    <s v="33"/>
    <s v=" TIM - GPON RJO"/>
    <s v="10868240"/>
    <s v="-"/>
    <x v="1"/>
    <s v="1"/>
    <s v="004725"/>
    <s v="TM05006716"/>
    <s v="KAON0900899F"/>
    <n v="1"/>
    <s v="1"/>
    <s v="0"/>
    <x v="0"/>
    <x v="0"/>
  </r>
  <r>
    <s v="33"/>
    <s v=" TIM - GPON RJO"/>
    <s v="10851156"/>
    <s v="-"/>
    <x v="1"/>
    <s v="1"/>
    <s v="004820"/>
    <s v="TM05006716"/>
    <s v="KAON09026CDD"/>
    <n v="1"/>
    <s v="1"/>
    <s v="0"/>
    <x v="0"/>
    <x v="0"/>
  </r>
  <r>
    <s v="33"/>
    <s v=" TIM - GPON RJO"/>
    <s v="10868805"/>
    <s v="-"/>
    <x v="1"/>
    <s v="1"/>
    <s v="104978"/>
    <s v="TM05006716"/>
    <s v="KAON09024167"/>
    <n v="1"/>
    <s v="1"/>
    <s v="0"/>
    <x v="0"/>
    <x v="0"/>
  </r>
  <r>
    <s v="33"/>
    <s v=" TIM - GPON RJO"/>
    <s v="10852907"/>
    <s v="-"/>
    <x v="1"/>
    <s v="1"/>
    <s v="105001"/>
    <s v="TM05006667"/>
    <s v="SMBS005369A7"/>
    <n v="1"/>
    <s v="1"/>
    <s v="0"/>
    <x v="0"/>
    <x v="0"/>
  </r>
  <r>
    <s v="33"/>
    <s v=" TIM - GPON RJO"/>
    <s v="10838357"/>
    <s v="-"/>
    <x v="1"/>
    <s v="1"/>
    <s v="105001"/>
    <s v="TM05006716"/>
    <s v="KAON0900A6BB"/>
    <n v="1"/>
    <s v="1"/>
    <s v="0"/>
    <x v="0"/>
    <x v="0"/>
  </r>
  <r>
    <s v="33"/>
    <s v=" TIM - GPON RJO"/>
    <s v="10896705"/>
    <s v="-"/>
    <x v="1"/>
    <s v="1"/>
    <s v="105016"/>
    <s v="TM05006667"/>
    <s v="SMBS0400CC28"/>
    <n v="1"/>
    <s v="1"/>
    <s v="0"/>
    <x v="0"/>
    <x v="0"/>
  </r>
  <r>
    <s v="33"/>
    <s v=" TIM - GPON RJO"/>
    <s v="10880064"/>
    <s v="-"/>
    <x v="1"/>
    <s v="1"/>
    <s v="105018"/>
    <s v="TM05006716"/>
    <s v="KAON09019D70"/>
    <n v="1"/>
    <s v="1"/>
    <s v="0"/>
    <x v="0"/>
    <x v="0"/>
  </r>
  <r>
    <s v="33"/>
    <s v=" TIM - GPON RJO"/>
    <s v="10846927"/>
    <s v="-"/>
    <x v="1"/>
    <s v="1"/>
    <s v="105062"/>
    <s v="TM04017341"/>
    <s v="TLCTBE8906C0"/>
    <n v="1"/>
    <s v="1"/>
    <s v="0"/>
    <x v="0"/>
    <x v="0"/>
  </r>
  <r>
    <s v="33"/>
    <s v=" TIM - GPON RJO"/>
    <s v="10845534"/>
    <s v="-"/>
    <x v="1"/>
    <s v="1"/>
    <s v="105062"/>
    <s v="TM04017341"/>
    <s v="TLCTBE88BB40"/>
    <n v="1"/>
    <s v="1"/>
    <s v="0"/>
    <x v="0"/>
    <x v="0"/>
  </r>
  <r>
    <s v="33"/>
    <s v=" TIM - GPON RJO"/>
    <s v="10887146"/>
    <s v="-"/>
    <x v="1"/>
    <s v="1"/>
    <s v="105065"/>
    <s v="TM05006667"/>
    <s v="SMBS04008EC9"/>
    <n v="1"/>
    <s v="1"/>
    <s v="0"/>
    <x v="0"/>
    <x v="0"/>
  </r>
  <r>
    <s v="33"/>
    <s v=" TIM - GPON RJO"/>
    <s v="10876434"/>
    <s v="-"/>
    <x v="1"/>
    <s v="1"/>
    <s v="105065"/>
    <s v="TM05006716"/>
    <s v="KAON0901B11F"/>
    <n v="1"/>
    <s v="1"/>
    <s v="0"/>
    <x v="0"/>
    <x v="0"/>
  </r>
  <r>
    <s v="33"/>
    <s v=" TIM - GPON RJO"/>
    <s v="10843053"/>
    <s v="-"/>
    <x v="1"/>
    <s v="1"/>
    <s v="105068"/>
    <s v="TM05006716"/>
    <s v="KAON09017329"/>
    <n v="1"/>
    <s v="1"/>
    <s v="0"/>
    <x v="0"/>
    <x v="0"/>
  </r>
  <r>
    <s v="33"/>
    <s v=" TIM - GPON RJO"/>
    <s v="10888020"/>
    <s v="-"/>
    <x v="1"/>
    <s v="1"/>
    <s v="106007"/>
    <s v="TM05006716"/>
    <s v="KAON090029F8"/>
    <n v="1"/>
    <s v="1"/>
    <s v="0"/>
    <x v="0"/>
    <x v="0"/>
  </r>
  <r>
    <s v="33"/>
    <s v=" TIM - GPON RJO"/>
    <s v="10856781"/>
    <s v="-"/>
    <x v="1"/>
    <s v="1"/>
    <s v="106037"/>
    <s v="TM05006667"/>
    <s v="SMBS0052BA1F"/>
    <n v="1"/>
    <s v="1"/>
    <s v="0"/>
    <x v="0"/>
    <x v="0"/>
  </r>
  <r>
    <s v="33"/>
    <s v=" TIM - GPON RJO"/>
    <s v="10893787"/>
    <s v="-"/>
    <x v="1"/>
    <s v="1"/>
    <s v="106037"/>
    <s v="TM05006716"/>
    <s v="KAON09009B4F"/>
    <n v="1"/>
    <s v="1"/>
    <s v="0"/>
    <x v="0"/>
    <x v="0"/>
  </r>
  <r>
    <s v="33"/>
    <s v=" TIM - GPON RJO"/>
    <s v="10872835"/>
    <s v="-"/>
    <x v="1"/>
    <s v="1"/>
    <s v="106038"/>
    <s v="TM05006667"/>
    <s v="SMBS0066FA75"/>
    <n v="1"/>
    <s v="1"/>
    <s v="0"/>
    <x v="0"/>
    <x v="0"/>
  </r>
  <r>
    <s v="33"/>
    <s v=" TIM - GPON RJO"/>
    <s v="10879958"/>
    <s v="-"/>
    <x v="1"/>
    <s v="1"/>
    <s v="106039"/>
    <s v="TM05006716"/>
    <s v="KAON0901E56F"/>
    <n v="1"/>
    <s v="1"/>
    <s v="0"/>
    <x v="0"/>
    <x v="0"/>
  </r>
  <r>
    <s v="33"/>
    <s v=" TIM - GPON RJO"/>
    <s v="10881785"/>
    <s v="-"/>
    <x v="1"/>
    <s v="1"/>
    <s v="106039"/>
    <s v="TM05006716"/>
    <s v="KAON09007C58"/>
    <n v="1"/>
    <s v="1"/>
    <s v="0"/>
    <x v="0"/>
    <x v="0"/>
  </r>
  <r>
    <s v="33"/>
    <s v=" TIM - GPON RJO"/>
    <s v="10874002"/>
    <s v="-"/>
    <x v="1"/>
    <s v="1"/>
    <s v="106043"/>
    <s v="TM05006716"/>
    <s v="KAON09003329"/>
    <n v="1"/>
    <s v="1"/>
    <s v="0"/>
    <x v="0"/>
    <x v="0"/>
  </r>
  <r>
    <s v="33"/>
    <s v=" TIM - GPON RJO"/>
    <s v="10876809"/>
    <s v="-"/>
    <x v="1"/>
    <s v="1"/>
    <s v="106043"/>
    <s v="TM05006716"/>
    <s v="KAON09024F28"/>
    <n v="1"/>
    <s v="1"/>
    <s v="0"/>
    <x v="0"/>
    <x v="0"/>
  </r>
  <r>
    <s v="33"/>
    <s v=" TIM - GPON RJO"/>
    <s v="10872192"/>
    <s v="-"/>
    <x v="1"/>
    <s v="1"/>
    <s v="106043"/>
    <s v="TM05006716"/>
    <s v="KAON090241E7"/>
    <n v="1"/>
    <s v="1"/>
    <s v="0"/>
    <x v="0"/>
    <x v="0"/>
  </r>
  <r>
    <s v="33"/>
    <s v=" TIM - GPON RJO"/>
    <s v="10875189"/>
    <s v="-"/>
    <x v="1"/>
    <s v="1"/>
    <s v="106047"/>
    <s v="TM05006667"/>
    <s v="SMBS0400F80E"/>
    <n v="1"/>
    <s v="1"/>
    <s v="0"/>
    <x v="0"/>
    <x v="0"/>
  </r>
  <r>
    <s v="33"/>
    <s v=" TIM - GPON RJO"/>
    <s v="10890876"/>
    <s v="-"/>
    <x v="1"/>
    <s v="1"/>
    <s v="106047"/>
    <s v="TM05006667"/>
    <s v="SMBS04000389"/>
    <n v="1"/>
    <s v="1"/>
    <s v="0"/>
    <x v="0"/>
    <x v="0"/>
  </r>
  <r>
    <s v="33"/>
    <s v=" TIM - GPON RJO"/>
    <s v="10892103"/>
    <s v="-"/>
    <x v="1"/>
    <s v="1"/>
    <s v="106052"/>
    <s v="TM05006667"/>
    <s v="SMBS0053738E"/>
    <n v="1"/>
    <s v="1"/>
    <s v="0"/>
    <x v="0"/>
    <x v="0"/>
  </r>
  <r>
    <s v="33"/>
    <s v=" TIM - GPON RJO"/>
    <s v="10865571"/>
    <s v="-"/>
    <x v="1"/>
    <s v="1"/>
    <s v="700062"/>
    <s v="TM05006716"/>
    <s v="KAON0901B515"/>
    <n v="1"/>
    <s v="1"/>
    <s v="0"/>
    <x v="0"/>
    <x v="0"/>
  </r>
  <r>
    <s v="33"/>
    <s v=" TIM - GPON RJO"/>
    <s v="10871450"/>
    <s v="-"/>
    <x v="1"/>
    <s v="1"/>
    <s v="700092"/>
    <s v="TM05006667"/>
    <s v="SMBS005390E0"/>
    <n v="1"/>
    <s v="1"/>
    <s v="0"/>
    <x v="0"/>
    <x v="0"/>
  </r>
  <r>
    <s v="33"/>
    <s v=" TIM - GPON RJO"/>
    <s v="10877857"/>
    <s v="-"/>
    <x v="1"/>
    <s v="1"/>
    <s v="700092"/>
    <s v="TM05006667"/>
    <s v="SMBS04003359"/>
    <n v="1"/>
    <s v="1"/>
    <s v="0"/>
    <x v="0"/>
    <x v="0"/>
  </r>
  <r>
    <s v="33"/>
    <s v=" TIM - GPON RJO"/>
    <s v="10885883"/>
    <s v="-"/>
    <x v="1"/>
    <s v="1"/>
    <s v="700102"/>
    <s v="TM05006667"/>
    <s v="SMBS040037F8"/>
    <n v="1"/>
    <s v="1"/>
    <s v="0"/>
    <x v="0"/>
    <x v="0"/>
  </r>
  <r>
    <s v="33"/>
    <s v=" TIM - GPON RJO"/>
    <s v="10888994"/>
    <s v="-"/>
    <x v="2"/>
    <s v="1"/>
    <s v="002485"/>
    <s v="TM05006667"/>
    <s v="SMBS04009723"/>
    <n v="1"/>
    <s v="1"/>
    <s v="0"/>
    <x v="0"/>
    <x v="0"/>
  </r>
  <r>
    <s v="33"/>
    <s v=" TIM - GPON RJO"/>
    <s v="10873866"/>
    <s v="-"/>
    <x v="2"/>
    <s v="1"/>
    <s v="002612"/>
    <s v="TM05006667"/>
    <s v="SMBS005377BE"/>
    <n v="1"/>
    <s v="1"/>
    <s v="0"/>
    <x v="0"/>
    <x v="0"/>
  </r>
  <r>
    <s v="33"/>
    <s v=" TIM - GPON RJO"/>
    <s v="10899031"/>
    <s v="-"/>
    <x v="2"/>
    <s v="1"/>
    <s v="002612"/>
    <s v="TM05006667"/>
    <s v="SMBS004A66CF"/>
    <n v="1"/>
    <s v="1"/>
    <s v="0"/>
    <x v="0"/>
    <x v="0"/>
  </r>
  <r>
    <s v="33"/>
    <s v=" TIM - GPON RJO"/>
    <s v="10863797"/>
    <s v="-"/>
    <x v="2"/>
    <s v="1"/>
    <s v="003651"/>
    <s v="TM05006716"/>
    <s v="KAON09009F80"/>
    <n v="1"/>
    <s v="1"/>
    <s v="0"/>
    <x v="0"/>
    <x v="0"/>
  </r>
  <r>
    <s v="33"/>
    <s v=" TIM - GPON RJO"/>
    <s v="10891934"/>
    <s v="-"/>
    <x v="2"/>
    <s v="1"/>
    <s v="003697"/>
    <s v="TM05006716"/>
    <s v="KAON09013788"/>
    <n v="1"/>
    <s v="1"/>
    <s v="0"/>
    <x v="0"/>
    <x v="0"/>
  </r>
  <r>
    <s v="33"/>
    <s v=" TIM - GPON RJO"/>
    <s v="10896072"/>
    <s v="-"/>
    <x v="2"/>
    <s v="1"/>
    <s v="003921"/>
    <s v="TM05006667"/>
    <s v="SMBS005355F6"/>
    <n v="1"/>
    <s v="1"/>
    <s v="0"/>
    <x v="0"/>
    <x v="0"/>
  </r>
  <r>
    <s v="33"/>
    <s v=" TIM - GPON RJO"/>
    <s v="10881325"/>
    <s v="-"/>
    <x v="2"/>
    <s v="1"/>
    <s v="003986"/>
    <s v="TM05006667"/>
    <s v="SMBS0057DC03"/>
    <n v="1"/>
    <s v="1"/>
    <s v="0"/>
    <x v="0"/>
    <x v="0"/>
  </r>
  <r>
    <s v="33"/>
    <s v=" TIM - GPON RJO"/>
    <s v="10878851"/>
    <s v="-"/>
    <x v="2"/>
    <s v="1"/>
    <s v="003986"/>
    <s v="TM05006667"/>
    <s v="SMBS04007F17"/>
    <n v="1"/>
    <s v="1"/>
    <s v="0"/>
    <x v="0"/>
    <x v="0"/>
  </r>
  <r>
    <s v="33"/>
    <s v=" TIM - GPON RJO"/>
    <s v="10877056"/>
    <s v="-"/>
    <x v="2"/>
    <s v="1"/>
    <s v="004132"/>
    <s v="TM05006667"/>
    <s v="SMBS0050190B"/>
    <n v="1"/>
    <s v="1"/>
    <s v="0"/>
    <x v="0"/>
    <x v="0"/>
  </r>
  <r>
    <s v="33"/>
    <s v=" TIM - GPON RJO"/>
    <s v="10902692"/>
    <s v="-"/>
    <x v="2"/>
    <s v="1"/>
    <s v="004132"/>
    <s v="TM05006716"/>
    <s v="KAON09015CB4"/>
    <n v="1"/>
    <s v="1"/>
    <s v="0"/>
    <x v="0"/>
    <x v="0"/>
  </r>
  <r>
    <s v="33"/>
    <s v=" TIM - GPON RJO"/>
    <s v="10873196"/>
    <s v="-"/>
    <x v="2"/>
    <s v="1"/>
    <s v="004132"/>
    <s v="TM05006716"/>
    <s v="KAON090037B5"/>
    <n v="1"/>
    <s v="1"/>
    <s v="0"/>
    <x v="0"/>
    <x v="0"/>
  </r>
  <r>
    <s v="33"/>
    <s v=" TIM - GPON RJO"/>
    <s v="10869745"/>
    <s v="-"/>
    <x v="2"/>
    <s v="1"/>
    <s v="004390"/>
    <s v="TM04014671"/>
    <s v="KAON09028238"/>
    <n v="1"/>
    <s v="1"/>
    <s v="0"/>
    <x v="0"/>
    <x v="0"/>
  </r>
  <r>
    <s v="33"/>
    <s v=" TIM - GPON RJO"/>
    <s v="10873192"/>
    <s v="-"/>
    <x v="2"/>
    <s v="1"/>
    <s v="004462"/>
    <s v="TM05006716"/>
    <s v="KAON09029E3A"/>
    <n v="1"/>
    <s v="1"/>
    <s v="0"/>
    <x v="0"/>
    <x v="0"/>
  </r>
  <r>
    <s v="33"/>
    <s v=" TIM - GPON RJO"/>
    <s v="10872607"/>
    <s v="-"/>
    <x v="2"/>
    <s v="1"/>
    <s v="004536"/>
    <s v="TM05006667"/>
    <s v="SMBS004A6052"/>
    <n v="1"/>
    <s v="1"/>
    <s v="0"/>
    <x v="0"/>
    <x v="0"/>
  </r>
  <r>
    <s v="33"/>
    <s v=" TIM - GPON RJO"/>
    <s v="10875906"/>
    <s v="-"/>
    <x v="2"/>
    <s v="1"/>
    <s v="104874"/>
    <s v="TM05006667"/>
    <s v="SMBS04004940"/>
    <n v="1"/>
    <s v="1"/>
    <s v="0"/>
    <x v="0"/>
    <x v="0"/>
  </r>
  <r>
    <s v="33"/>
    <s v=" TIM - GPON RJO"/>
    <s v="10902027"/>
    <s v="-"/>
    <x v="2"/>
    <s v="1"/>
    <s v="105019"/>
    <s v="TM05006667"/>
    <s v="SMBS004FEA9E"/>
    <n v="1"/>
    <s v="1"/>
    <s v="0"/>
    <x v="0"/>
    <x v="0"/>
  </r>
  <r>
    <s v="33"/>
    <s v=" TIM - GPON RJO"/>
    <s v="10897981"/>
    <s v="-"/>
    <x v="2"/>
    <s v="1"/>
    <s v="105054"/>
    <s v="TM04015878"/>
    <s v="BCSK489DDC20"/>
    <n v="1"/>
    <s v="1"/>
    <s v="0"/>
    <x v="0"/>
    <x v="0"/>
  </r>
  <r>
    <s v="33"/>
    <s v=" TIM - GPON RJO"/>
    <s v="10885838"/>
    <s v="-"/>
    <x v="2"/>
    <s v="1"/>
    <s v="105060"/>
    <s v="TM05006667"/>
    <s v="SMBS004A79D7"/>
    <n v="1"/>
    <s v="1"/>
    <s v="0"/>
    <x v="0"/>
    <x v="0"/>
  </r>
  <r>
    <s v="33"/>
    <s v=" TIM - GPON RJO"/>
    <s v="10888804"/>
    <s v="-"/>
    <x v="2"/>
    <s v="1"/>
    <s v="106051"/>
    <s v="TM05006716"/>
    <s v="KAON0901F9C5"/>
    <n v="1"/>
    <s v="1"/>
    <s v="0"/>
    <x v="0"/>
    <x v="0"/>
  </r>
  <r>
    <s v="33"/>
    <s v=" TIM - GPON RJO"/>
    <s v="10880954"/>
    <s v="-"/>
    <x v="2"/>
    <s v="1"/>
    <s v="700102"/>
    <s v="TM05005588"/>
    <s v="SMBS00416E56"/>
    <n v="1"/>
    <s v="1"/>
    <s v="0"/>
    <x v="0"/>
    <x v="0"/>
  </r>
  <r>
    <s v="33"/>
    <s v=" TIM - GPON RJO"/>
    <s v="10874225"/>
    <s v="-"/>
    <x v="2"/>
    <s v="1"/>
    <s v="700102"/>
    <s v="TM05006667"/>
    <s v="SMBS0052CC9A"/>
    <n v="1"/>
    <s v="1"/>
    <s v="0"/>
    <x v="0"/>
    <x v="0"/>
  </r>
  <r>
    <s v="33"/>
    <s v=" TIM - GPON RJO"/>
    <s v="10894281"/>
    <s v="-"/>
    <x v="2"/>
    <s v="1"/>
    <s v="700108"/>
    <s v="TM05006667"/>
    <s v="SMBS00503E5F"/>
    <n v="1"/>
    <s v="1"/>
    <s v="0"/>
    <x v="0"/>
    <x v="0"/>
  </r>
  <r>
    <s v="33"/>
    <s v=" TIM - GPON RJO"/>
    <s v="10888725"/>
    <s v="-"/>
    <x v="2"/>
    <s v="1"/>
    <s v="700108"/>
    <s v="TM05006667"/>
    <s v="SMBS04003715"/>
    <n v="1"/>
    <s v="1"/>
    <s v="0"/>
    <x v="0"/>
    <x v="0"/>
  </r>
  <r>
    <s v="32"/>
    <s v="INSTALAÇÃO GPON SP"/>
    <s v="10359071"/>
    <s v="-"/>
    <x v="0"/>
    <s v="1"/>
    <s v="131946"/>
    <s v="TM05005588"/>
    <s v="SMBS003E9A8D"/>
    <n v="1"/>
    <s v="1"/>
    <s v="0"/>
    <x v="0"/>
    <x v="1"/>
  </r>
  <r>
    <s v="32"/>
    <s v="INSTALAÇÃO GPON SP"/>
    <s v="10283577"/>
    <s v="-"/>
    <x v="0"/>
    <s v="1"/>
    <s v="131983"/>
    <s v="TM05005630"/>
    <s v="ZTEGCE0796E4"/>
    <n v="1"/>
    <s v="1"/>
    <s v="0"/>
    <x v="0"/>
    <x v="1"/>
  </r>
  <r>
    <s v="32"/>
    <s v="INSTALAÇÃO GPON SP"/>
    <s v="10349122"/>
    <s v="-"/>
    <x v="0"/>
    <s v="1"/>
    <s v="132003"/>
    <s v="TM05005588"/>
    <s v="SMBS00370EAD"/>
    <n v="1"/>
    <s v="1"/>
    <s v="0"/>
    <x v="0"/>
    <x v="1"/>
  </r>
  <r>
    <s v="32"/>
    <s v="INSTALAÇÃO GPON SP"/>
    <s v="10364759"/>
    <s v="-"/>
    <x v="0"/>
    <s v="1"/>
    <s v="132060"/>
    <s v="TM04016961"/>
    <s v="HWTCFF6BCDB3"/>
    <n v="1"/>
    <s v="1"/>
    <s v="0"/>
    <x v="0"/>
    <x v="1"/>
  </r>
  <r>
    <s v="32"/>
    <s v="INSTALAÇÃO GPON SP"/>
    <s v="10365077"/>
    <s v="-"/>
    <x v="0"/>
    <s v="1"/>
    <s v="132090"/>
    <s v="TM05005588"/>
    <s v="SMBS003ED2DD"/>
    <n v="1"/>
    <s v="1"/>
    <s v="0"/>
    <x v="0"/>
    <x v="1"/>
  </r>
  <r>
    <s v="32"/>
    <s v="INSTALAÇÃO GPON SP"/>
    <s v="10365758"/>
    <s v="-"/>
    <x v="0"/>
    <s v="1"/>
    <s v="132090"/>
    <s v="TM05005588"/>
    <s v="SMBS00371D3C"/>
    <n v="1"/>
    <s v="1"/>
    <s v="0"/>
    <x v="0"/>
    <x v="1"/>
  </r>
  <r>
    <s v="32"/>
    <s v="INSTALAÇÃO GPON SP"/>
    <s v="10306998"/>
    <s v="-"/>
    <x v="0"/>
    <s v="1"/>
    <s v="132091"/>
    <s v="TM05006851"/>
    <s v="FTTH0A22CFC0"/>
    <n v="1"/>
    <s v="1"/>
    <s v="0"/>
    <x v="0"/>
    <x v="1"/>
  </r>
  <r>
    <s v="32"/>
    <s v="INSTALAÇÃO GPON SP"/>
    <s v="10347199"/>
    <s v="-"/>
    <x v="0"/>
    <s v="1"/>
    <s v="132092"/>
    <s v="TM05006717"/>
    <s v="TMBB0056C51D"/>
    <n v="1"/>
    <s v="1"/>
    <s v="0"/>
    <x v="0"/>
    <x v="1"/>
  </r>
  <r>
    <s v="32"/>
    <s v="INSTALAÇÃO GPON SP"/>
    <s v="10333895"/>
    <s v="-"/>
    <x v="0"/>
    <s v="1"/>
    <s v="500011"/>
    <s v="TM05006716"/>
    <s v="KAON09023EDB"/>
    <n v="1"/>
    <s v="1"/>
    <s v="0"/>
    <x v="0"/>
    <x v="1"/>
  </r>
  <r>
    <s v="32"/>
    <s v="INSTALAÇÃO GPON SP"/>
    <s v="10350634"/>
    <s v="-"/>
    <x v="0"/>
    <s v="1"/>
    <s v="500295"/>
    <s v="TM04016961"/>
    <s v="HWTCE6BA6BB4"/>
    <n v="1"/>
    <s v="1"/>
    <s v="0"/>
    <x v="0"/>
    <x v="1"/>
  </r>
  <r>
    <s v="32"/>
    <s v="INSTALAÇÃO GPON SP"/>
    <s v="10316458"/>
    <s v="-"/>
    <x v="0"/>
    <s v="1"/>
    <s v="500318"/>
    <s v="TM05005630"/>
    <s v="ZTEGCD5906F7"/>
    <n v="1"/>
    <s v="1"/>
    <s v="0"/>
    <x v="0"/>
    <x v="1"/>
  </r>
  <r>
    <s v="32"/>
    <s v="INSTALAÇÃO GPON SP"/>
    <s v="10369639"/>
    <s v="-"/>
    <x v="0"/>
    <s v="1"/>
    <s v="500370"/>
    <s v="TM05005630"/>
    <s v="ZTEGCE07E3EC"/>
    <n v="1"/>
    <s v="1"/>
    <s v="0"/>
    <x v="0"/>
    <x v="1"/>
  </r>
  <r>
    <s v="32"/>
    <s v="INSTALAÇÃO GPON SP"/>
    <s v="10359827"/>
    <s v="-"/>
    <x v="0"/>
    <s v="1"/>
    <s v="500514"/>
    <s v="TM05004523"/>
    <s v="SMBS00036FCA"/>
    <n v="1"/>
    <s v="1"/>
    <s v="0"/>
    <x v="0"/>
    <x v="1"/>
  </r>
  <r>
    <s v="32"/>
    <s v="INSTALAÇÃO GPON SP"/>
    <s v="10360448"/>
    <s v="-"/>
    <x v="0"/>
    <s v="1"/>
    <s v="501248"/>
    <s v="TM05005588"/>
    <s v="SMBS00377A77"/>
    <n v="1"/>
    <s v="1"/>
    <s v="0"/>
    <x v="0"/>
    <x v="1"/>
  </r>
  <r>
    <s v="32"/>
    <s v="INSTALAÇÃO GPON SP"/>
    <s v="10350310"/>
    <s v="-"/>
    <x v="0"/>
    <s v="1"/>
    <s v="501350"/>
    <s v="TM05005588"/>
    <s v="SMBS0041820D"/>
    <n v="1"/>
    <s v="1"/>
    <s v="0"/>
    <x v="0"/>
    <x v="1"/>
  </r>
  <r>
    <s v="32"/>
    <s v="INSTALAÇÃO GPON SP"/>
    <s v="10350279"/>
    <s v="-"/>
    <x v="0"/>
    <s v="1"/>
    <s v="501350"/>
    <s v="TM05005588"/>
    <s v="SMBS00374201"/>
    <n v="1"/>
    <s v="1"/>
    <s v="0"/>
    <x v="0"/>
    <x v="1"/>
  </r>
  <r>
    <s v="32"/>
    <s v="INSTALAÇÃO GPON SP"/>
    <s v="10357532"/>
    <s v="-"/>
    <x v="0"/>
    <s v="1"/>
    <s v="501351"/>
    <s v="TM05005588"/>
    <s v="SMBS00418D8C"/>
    <n v="1"/>
    <s v="1"/>
    <s v="0"/>
    <x v="0"/>
    <x v="1"/>
  </r>
  <r>
    <s v="32"/>
    <s v="INSTALAÇÃO GPON SP"/>
    <s v="10360465"/>
    <s v="-"/>
    <x v="0"/>
    <s v="1"/>
    <s v="501354"/>
    <s v="TM05005630"/>
    <s v="ZTEGCB31469A"/>
    <n v="1"/>
    <s v="1"/>
    <s v="0"/>
    <x v="0"/>
    <x v="1"/>
  </r>
  <r>
    <s v="32"/>
    <s v="INSTALAÇÃO GPON SP"/>
    <s v="10353283"/>
    <s v="-"/>
    <x v="0"/>
    <s v="1"/>
    <s v="501355"/>
    <s v="TM04016961"/>
    <s v="HWTC92342EB6"/>
    <n v="1"/>
    <s v="1"/>
    <s v="0"/>
    <x v="0"/>
    <x v="1"/>
  </r>
  <r>
    <s v="32"/>
    <s v="INSTALAÇÃO GPON SP"/>
    <s v="10355596"/>
    <s v="-"/>
    <x v="0"/>
    <s v="1"/>
    <s v="501380"/>
    <s v="TM05005588"/>
    <s v="SMBS003736AE"/>
    <n v="1"/>
    <s v="1"/>
    <s v="0"/>
    <x v="0"/>
    <x v="1"/>
  </r>
  <r>
    <s v="32"/>
    <s v="INSTALAÇÃO GPON SP"/>
    <s v="10353912"/>
    <s v="-"/>
    <x v="0"/>
    <s v="1"/>
    <s v="501391"/>
    <s v="TM04017341"/>
    <s v="TLCTA62CEF20"/>
    <n v="1"/>
    <s v="1"/>
    <s v="0"/>
    <x v="0"/>
    <x v="1"/>
  </r>
  <r>
    <s v="32"/>
    <s v="INSTALAÇÃO GPON SP"/>
    <s v="10356856"/>
    <s v="-"/>
    <x v="0"/>
    <s v="1"/>
    <s v="501415"/>
    <s v="TM05005630"/>
    <s v="ZTEGCE07E2CA"/>
    <n v="1"/>
    <s v="1"/>
    <s v="0"/>
    <x v="0"/>
    <x v="1"/>
  </r>
  <r>
    <s v="32"/>
    <s v="INSTALAÇÃO GPON SP"/>
    <s v="10327807"/>
    <s v="-"/>
    <x v="0"/>
    <s v="1"/>
    <s v="501419"/>
    <s v="TM04016961"/>
    <s v="HWTC25C55DB4"/>
    <n v="1"/>
    <s v="1"/>
    <s v="0"/>
    <x v="0"/>
    <x v="1"/>
  </r>
  <r>
    <s v="32"/>
    <s v="INSTALAÇÃO GPON SP"/>
    <s v="10365177"/>
    <s v="-"/>
    <x v="0"/>
    <s v="1"/>
    <s v="501709"/>
    <s v="TM05006717"/>
    <s v="TMBB0063F8DF"/>
    <n v="1"/>
    <s v="1"/>
    <s v="0"/>
    <x v="0"/>
    <x v="1"/>
  </r>
  <r>
    <s v="32"/>
    <s v="INSTALAÇÃO GPON SP"/>
    <s v="10361290"/>
    <s v="-"/>
    <x v="0"/>
    <s v="1"/>
    <s v="501709"/>
    <s v="TM05006717"/>
    <s v="TMBB00560C46"/>
    <n v="1"/>
    <s v="1"/>
    <s v="0"/>
    <x v="0"/>
    <x v="1"/>
  </r>
  <r>
    <s v="32"/>
    <s v="INSTALAÇÃO GPON SP"/>
    <s v="10359094"/>
    <s v="-"/>
    <x v="0"/>
    <s v="1"/>
    <s v="501712"/>
    <s v="TM04014973"/>
    <s v="ZTEGD427C5A3"/>
    <n v="1"/>
    <s v="1"/>
    <s v="0"/>
    <x v="0"/>
    <x v="1"/>
  </r>
  <r>
    <s v="32"/>
    <s v="INSTALAÇÃO GPON SP"/>
    <s v="10355624"/>
    <s v="-"/>
    <x v="0"/>
    <s v="1"/>
    <s v="5019"/>
    <s v="TM04017341"/>
    <s v="TLCTA62CF6E0"/>
    <n v="1"/>
    <s v="1"/>
    <s v="0"/>
    <x v="0"/>
    <x v="1"/>
  </r>
  <r>
    <s v="32"/>
    <s v="INSTALAÇÃO GPON SP"/>
    <s v="10351936"/>
    <s v="-"/>
    <x v="1"/>
    <s v="1"/>
    <s v="131930"/>
    <s v="TM05005588"/>
    <s v="SMBS003EADED"/>
    <n v="1"/>
    <s v="1"/>
    <s v="0"/>
    <x v="0"/>
    <x v="1"/>
  </r>
  <r>
    <s v="32"/>
    <s v="INSTALAÇÃO GPON SP"/>
    <s v="10368064"/>
    <s v="-"/>
    <x v="1"/>
    <s v="1"/>
    <s v="131930"/>
    <s v="TM05006717"/>
    <s v="TMBB006070C0"/>
    <n v="1"/>
    <s v="1"/>
    <s v="0"/>
    <x v="0"/>
    <x v="1"/>
  </r>
  <r>
    <s v="32"/>
    <s v="INSTALAÇÃO GPON SP"/>
    <s v="10366233"/>
    <s v="-"/>
    <x v="1"/>
    <s v="1"/>
    <s v="131980"/>
    <s v="TM04016961"/>
    <s v="HWTC9235B3B6"/>
    <n v="1"/>
    <s v="1"/>
    <s v="0"/>
    <x v="0"/>
    <x v="1"/>
  </r>
  <r>
    <s v="32"/>
    <s v="INSTALAÇÃO GPON SP"/>
    <s v="10357031"/>
    <s v="-"/>
    <x v="1"/>
    <s v="1"/>
    <s v="131981"/>
    <s v="TM04016961"/>
    <s v="HWTC92428FB6"/>
    <n v="1"/>
    <s v="1"/>
    <s v="0"/>
    <x v="0"/>
    <x v="1"/>
  </r>
  <r>
    <s v="32"/>
    <s v="INSTALAÇÃO GPON SP"/>
    <s v="10363862"/>
    <s v="-"/>
    <x v="1"/>
    <s v="1"/>
    <s v="131981"/>
    <s v="TM05005630"/>
    <s v="ZTEGCE07EA3F"/>
    <n v="1"/>
    <s v="1"/>
    <s v="0"/>
    <x v="0"/>
    <x v="1"/>
  </r>
  <r>
    <s v="32"/>
    <s v="INSTALAÇÃO GPON SP"/>
    <s v="10374541"/>
    <s v="-"/>
    <x v="1"/>
    <s v="1"/>
    <s v="132092"/>
    <s v="TM05005630"/>
    <s v="ZTEGCE07E2CF"/>
    <n v="1"/>
    <s v="1"/>
    <s v="0"/>
    <x v="0"/>
    <x v="1"/>
  </r>
  <r>
    <s v="32"/>
    <s v="INSTALAÇÃO GPON SP"/>
    <s v="10370122"/>
    <s v="-"/>
    <x v="1"/>
    <s v="1"/>
    <s v="132092"/>
    <s v="TM05005630"/>
    <s v="ZTEGCCFF83EC"/>
    <n v="1"/>
    <s v="1"/>
    <s v="0"/>
    <x v="0"/>
    <x v="1"/>
  </r>
  <r>
    <s v="32"/>
    <s v="INSTALAÇÃO GPON SP"/>
    <s v="10377891"/>
    <s v="-"/>
    <x v="1"/>
    <s v="1"/>
    <s v="132092"/>
    <s v="TM05005630"/>
    <s v="ZTEGCCFF9D3A"/>
    <n v="1"/>
    <s v="1"/>
    <s v="0"/>
    <x v="0"/>
    <x v="1"/>
  </r>
  <r>
    <s v="32"/>
    <s v="INSTALAÇÃO GPON SP"/>
    <s v="10369756"/>
    <s v="-"/>
    <x v="1"/>
    <s v="1"/>
    <s v="500295"/>
    <s v="TM04016961"/>
    <s v="HWTCE0E02BB5"/>
    <n v="1"/>
    <s v="1"/>
    <s v="0"/>
    <x v="0"/>
    <x v="1"/>
  </r>
  <r>
    <s v="32"/>
    <s v="INSTALAÇÃO GPON SP"/>
    <s v="10368771"/>
    <s v="-"/>
    <x v="1"/>
    <s v="1"/>
    <s v="501302"/>
    <s v="TM05004523"/>
    <s v="SMBS00101657"/>
    <n v="1"/>
    <s v="1"/>
    <s v="0"/>
    <x v="0"/>
    <x v="1"/>
  </r>
  <r>
    <s v="32"/>
    <s v="INSTALAÇÃO GPON SP"/>
    <s v="10371263"/>
    <s v="-"/>
    <x v="1"/>
    <s v="1"/>
    <s v="501600"/>
    <s v="TM05005630"/>
    <s v="ZTEGCCFFA096"/>
    <n v="1"/>
    <s v="1"/>
    <s v="0"/>
    <x v="0"/>
    <x v="1"/>
  </r>
  <r>
    <s v="32"/>
    <s v="INSTALAÇÃO GPON SP"/>
    <s v="10373552"/>
    <s v="-"/>
    <x v="1"/>
    <s v="1"/>
    <s v="501712"/>
    <s v="TM04016961"/>
    <s v="HWTCE0E95DB5"/>
    <n v="1"/>
    <s v="1"/>
    <s v="0"/>
    <x v="0"/>
    <x v="1"/>
  </r>
  <r>
    <s v="32"/>
    <s v="INSTALAÇÃO GPON SP"/>
    <s v="10362609"/>
    <s v="-"/>
    <x v="1"/>
    <s v="1"/>
    <s v="501712"/>
    <s v="TM05006716"/>
    <s v="KAON0901FAFA"/>
    <n v="1"/>
    <s v="1"/>
    <s v="0"/>
    <x v="0"/>
    <x v="1"/>
  </r>
  <r>
    <s v="32"/>
    <s v="INSTALAÇÃO GPON SP"/>
    <s v="10350979"/>
    <s v="-"/>
    <x v="1"/>
    <s v="1"/>
    <s v="501885"/>
    <s v="TM05004523"/>
    <s v="SMBS000DAA40"/>
    <n v="1"/>
    <s v="1"/>
    <s v="0"/>
    <x v="0"/>
    <x v="1"/>
  </r>
  <r>
    <s v="32"/>
    <s v="INSTALAÇÃO GPON SP"/>
    <s v="10366297"/>
    <s v="-"/>
    <x v="1"/>
    <s v="1"/>
    <s v="5066"/>
    <s v="TM05005630"/>
    <s v="ZTEGCB3107BC"/>
    <n v="1"/>
    <s v="1"/>
    <s v="0"/>
    <x v="0"/>
    <x v="1"/>
  </r>
  <r>
    <s v="32"/>
    <s v="INSTALAÇÃO GPON SP"/>
    <s v="10379354"/>
    <s v="-"/>
    <x v="1"/>
    <s v="1"/>
    <s v="60024"/>
    <s v="TM05005630"/>
    <s v="ZTEGCE07A00A"/>
    <n v="1"/>
    <s v="1"/>
    <s v="0"/>
    <x v="0"/>
    <x v="1"/>
  </r>
  <r>
    <s v="32"/>
    <s v="INSTALAÇÃO GPON SP"/>
    <s v="10362022"/>
    <s v="-"/>
    <x v="1"/>
    <s v="1"/>
    <s v="60040"/>
    <s v="TM05004523"/>
    <s v="SMBS00100824"/>
    <n v="1"/>
    <s v="1"/>
    <s v="0"/>
    <x v="0"/>
    <x v="1"/>
  </r>
  <r>
    <s v="32"/>
    <s v="INSTALAÇÃO GPON SP"/>
    <s v="10367738"/>
    <s v="-"/>
    <x v="1"/>
    <s v="1"/>
    <s v="60069"/>
    <s v="TM05006851"/>
    <s v="FTTH0AB40CC0"/>
    <n v="1"/>
    <s v="1"/>
    <s v="0"/>
    <x v="0"/>
    <x v="1"/>
  </r>
  <r>
    <s v="32"/>
    <s v="INSTALAÇÃO GPON SP"/>
    <s v="10379649"/>
    <s v="-"/>
    <x v="1"/>
    <s v="1"/>
    <s v="6988"/>
    <s v="TM05006851"/>
    <s v="FTTH08FC74B8"/>
    <n v="1"/>
    <s v="1"/>
    <s v="0"/>
    <x v="0"/>
    <x v="1"/>
  </r>
  <r>
    <s v="32"/>
    <s v="INSTALAÇÃO GPON SP"/>
    <s v="10353759"/>
    <s v="-"/>
    <x v="2"/>
    <s v="1"/>
    <s v="501898"/>
    <s v="TM05006717"/>
    <s v="TMBB005824FE"/>
    <n v="1"/>
    <s v="1"/>
    <s v="0"/>
    <x v="0"/>
    <x v="1"/>
  </r>
  <r>
    <s v="32"/>
    <s v="INSTALAÇÃO GPON SP"/>
    <s v="10385867"/>
    <s v="-"/>
    <x v="2"/>
    <s v="1"/>
    <s v="501898"/>
    <s v="TM05006717"/>
    <s v="TMBB0056691A"/>
    <n v="1"/>
    <s v="1"/>
    <s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A9398-8457-4F44-82E1-0068C9507F19}" name="ptMonitoramento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B16:E21" firstHeaderRow="1" firstDataRow="2" firstDataCol="1" rowPageCount="1" colPageCount="1"/>
  <pivotFields count="14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Page" showAll="0">
      <items count="2"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12" hier="-1"/>
  </pageFields>
  <dataFields count="1">
    <dataField name="Qtde Modems" fld="9" baseField="0" baseItem="0" numFmtId="3"/>
  </dataFields>
  <formats count="68">
    <format dxfId="67">
      <pivotArea field="12" type="button" dataOnly="0" labelOnly="1" outline="0" axis="axisPage" fieldPosition="0"/>
    </format>
    <format dxfId="66">
      <pivotArea field="12" type="button" dataOnly="0" labelOnly="1" outline="0" axis="axisPage" fieldPosition="0"/>
    </format>
    <format dxfId="65">
      <pivotArea dataOnly="0" labelOnly="1" outline="0" fieldPosition="0">
        <references count="1">
          <reference field="12" count="0"/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13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4" type="button" dataOnly="0" labelOnly="1" outline="0" axis="axisRow" fieldPosition="0"/>
    </format>
    <format dxfId="58">
      <pivotArea dataOnly="0" labelOnly="1" fieldPosition="0">
        <references count="1">
          <reference field="4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13" count="0"/>
        </references>
      </pivotArea>
    </format>
    <format dxfId="55">
      <pivotArea dataOnly="0" labelOnly="1" grandCol="1" outline="0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13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4" type="button" dataOnly="0" labelOnly="1" outline="0" axis="axisRow" fieldPosition="0"/>
    </format>
    <format dxfId="48">
      <pivotArea dataOnly="0" labelOnly="1" fieldPosition="0">
        <references count="1">
          <reference field="4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13" count="0"/>
        </references>
      </pivotArea>
    </format>
    <format dxfId="45">
      <pivotArea dataOnly="0" labelOnly="1" grandCol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3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4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13" count="0"/>
        </references>
      </pivotArea>
    </format>
    <format dxfId="35">
      <pivotArea dataOnly="0" labelOnly="1" grandCol="1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13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4" type="button" dataOnly="0" labelOnly="1" outline="0" axis="axisRow" fieldPosition="0"/>
    </format>
    <format dxfId="28">
      <pivotArea dataOnly="0" labelOnly="1" fieldPosition="0">
        <references count="1">
          <reference field="4" count="0"/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1">
          <reference field="13" count="0"/>
        </references>
      </pivotArea>
    </format>
    <format dxfId="25">
      <pivotArea dataOnly="0" labelOnly="1" grandCol="1" outline="0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13" type="button" dataOnly="0" labelOnly="1" outline="0" axis="axisCol" fieldPosition="0"/>
    </format>
    <format dxfId="20">
      <pivotArea type="topRight" dataOnly="0" labelOnly="1" outline="0" fieldPosition="0"/>
    </format>
    <format dxfId="19">
      <pivotArea field="4" type="button" dataOnly="0" labelOnly="1" outline="0" axis="axisRow" fieldPosition="0"/>
    </format>
    <format dxfId="18">
      <pivotArea dataOnly="0" labelOnly="1" fieldPosition="0">
        <references count="1">
          <reference field="4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13" count="0"/>
        </references>
      </pivotArea>
    </format>
    <format dxfId="15">
      <pivotArea dataOnly="0" labelOnly="1" grandCol="1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13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4" type="button" dataOnly="0" labelOnly="1" outline="0" axis="axisRow" fieldPosition="0"/>
    </format>
    <format dxfId="9">
      <pivotArea dataOnly="0" labelOnly="1" fieldPosition="0">
        <references count="1">
          <reference field="13" count="0"/>
        </references>
      </pivotArea>
    </format>
    <format dxfId="8">
      <pivotArea dataOnly="0" labelOnly="1" grandCol="1" outline="0" fieldPosition="0"/>
    </format>
    <format dxfId="7">
      <pivotArea type="origin" dataOnly="0" labelOnly="1" outline="0" fieldPosition="0"/>
    </format>
    <format dxfId="6">
      <pivotArea field="13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13" count="0"/>
        </references>
      </pivotArea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8BC02D-2770-497D-81F4-3C1028210B42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ff4430d2-b6f5-413f-8a21-802f0d4da13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EABD-AAF0-4B57-88D0-C0BBAF53E130}">
  <dimension ref="A1:N246"/>
  <sheetViews>
    <sheetView tabSelected="1" topLeftCell="A225" workbookViewId="0">
      <selection activeCell="A246" sqref="A246:XFD246"/>
    </sheetView>
  </sheetViews>
  <sheetFormatPr defaultRowHeight="15" x14ac:dyDescent="0.25"/>
  <cols>
    <col min="1" max="1" width="7" bestFit="1" customWidth="1"/>
    <col min="2" max="2" width="20.85546875" bestFit="1" customWidth="1"/>
    <col min="3" max="3" width="9" bestFit="1" customWidth="1"/>
    <col min="4" max="4" width="13.5703125" bestFit="1" customWidth="1"/>
    <col min="5" max="5" width="16.42578125" bestFit="1" customWidth="1"/>
    <col min="6" max="6" width="7.7109375" bestFit="1" customWidth="1"/>
    <col min="7" max="7" width="7.42578125" bestFit="1" customWidth="1"/>
    <col min="8" max="8" width="11.7109375" bestFit="1" customWidth="1"/>
    <col min="9" max="9" width="15" bestFit="1" customWidth="1"/>
    <col min="10" max="10" width="11.7109375" bestFit="1" customWidth="1"/>
    <col min="11" max="11" width="11.140625" bestFit="1" customWidth="1"/>
    <col min="12" max="12" width="13.42578125" bestFit="1" customWidth="1"/>
    <col min="13" max="13" width="22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540</v>
      </c>
    </row>
    <row r="2" spans="1:14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10">
        <v>1</v>
      </c>
      <c r="K2" s="2" t="s">
        <v>18</v>
      </c>
      <c r="L2" s="2" t="s">
        <v>22</v>
      </c>
      <c r="M2" s="2" t="s">
        <v>23</v>
      </c>
      <c r="N2" t="str">
        <f>IF(ISNUMBER(SEARCH("SP",B2)),"SP","RJ")</f>
        <v>RJ</v>
      </c>
    </row>
    <row r="3" spans="1:14" x14ac:dyDescent="0.25">
      <c r="A3" s="2" t="s">
        <v>13</v>
      </c>
      <c r="B3" s="2" t="s">
        <v>14</v>
      </c>
      <c r="C3" s="2" t="s">
        <v>24</v>
      </c>
      <c r="D3" s="2" t="s">
        <v>16</v>
      </c>
      <c r="E3" s="2" t="s">
        <v>17</v>
      </c>
      <c r="F3" s="2" t="s">
        <v>18</v>
      </c>
      <c r="G3" s="2" t="s">
        <v>25</v>
      </c>
      <c r="H3" s="2" t="s">
        <v>26</v>
      </c>
      <c r="I3" s="2" t="s">
        <v>27</v>
      </c>
      <c r="J3" s="10">
        <v>1</v>
      </c>
      <c r="K3" s="2" t="s">
        <v>18</v>
      </c>
      <c r="L3" s="2" t="s">
        <v>22</v>
      </c>
      <c r="M3" s="2" t="s">
        <v>23</v>
      </c>
      <c r="N3" s="5" t="str">
        <f t="shared" ref="N3:N66" si="0">IF(ISNUMBER(SEARCH("SP",B3)),"SP","RJ")</f>
        <v>RJ</v>
      </c>
    </row>
    <row r="4" spans="1:14" x14ac:dyDescent="0.25">
      <c r="A4" s="2" t="s">
        <v>13</v>
      </c>
      <c r="B4" s="2" t="s">
        <v>14</v>
      </c>
      <c r="C4" s="2" t="s">
        <v>28</v>
      </c>
      <c r="D4" s="2" t="s">
        <v>16</v>
      </c>
      <c r="E4" s="2" t="s">
        <v>17</v>
      </c>
      <c r="F4" s="2" t="s">
        <v>18</v>
      </c>
      <c r="G4" s="2" t="s">
        <v>29</v>
      </c>
      <c r="H4" s="2" t="s">
        <v>30</v>
      </c>
      <c r="I4" s="2" t="s">
        <v>31</v>
      </c>
      <c r="J4" s="10">
        <v>1</v>
      </c>
      <c r="K4" s="2" t="s">
        <v>18</v>
      </c>
      <c r="L4" s="2" t="s">
        <v>22</v>
      </c>
      <c r="M4" s="2" t="s">
        <v>23</v>
      </c>
      <c r="N4" s="5" t="str">
        <f t="shared" si="0"/>
        <v>RJ</v>
      </c>
    </row>
    <row r="5" spans="1:14" x14ac:dyDescent="0.25">
      <c r="A5" s="2" t="s">
        <v>13</v>
      </c>
      <c r="B5" s="2" t="s">
        <v>14</v>
      </c>
      <c r="C5" s="2" t="s">
        <v>32</v>
      </c>
      <c r="D5" s="2" t="s">
        <v>16</v>
      </c>
      <c r="E5" s="2" t="s">
        <v>17</v>
      </c>
      <c r="F5" s="2" t="s">
        <v>18</v>
      </c>
      <c r="G5" s="2" t="s">
        <v>33</v>
      </c>
      <c r="H5" s="2" t="s">
        <v>26</v>
      </c>
      <c r="I5" s="2" t="s">
        <v>34</v>
      </c>
      <c r="J5" s="10">
        <v>1</v>
      </c>
      <c r="K5" s="2" t="s">
        <v>18</v>
      </c>
      <c r="L5" s="2" t="s">
        <v>22</v>
      </c>
      <c r="M5" s="2" t="s">
        <v>23</v>
      </c>
      <c r="N5" s="5" t="str">
        <f t="shared" si="0"/>
        <v>RJ</v>
      </c>
    </row>
    <row r="6" spans="1:14" x14ac:dyDescent="0.25">
      <c r="A6" s="2" t="s">
        <v>13</v>
      </c>
      <c r="B6" s="2" t="s">
        <v>14</v>
      </c>
      <c r="C6" s="2" t="s">
        <v>35</v>
      </c>
      <c r="D6" s="2" t="s">
        <v>16</v>
      </c>
      <c r="E6" s="2" t="s">
        <v>17</v>
      </c>
      <c r="F6" s="2" t="s">
        <v>18</v>
      </c>
      <c r="G6" s="2" t="s">
        <v>36</v>
      </c>
      <c r="H6" s="2" t="s">
        <v>26</v>
      </c>
      <c r="I6" s="2" t="s">
        <v>37</v>
      </c>
      <c r="J6" s="10">
        <v>1</v>
      </c>
      <c r="K6" s="2" t="s">
        <v>18</v>
      </c>
      <c r="L6" s="2" t="s">
        <v>22</v>
      </c>
      <c r="M6" s="2" t="s">
        <v>23</v>
      </c>
      <c r="N6" s="5" t="str">
        <f t="shared" si="0"/>
        <v>RJ</v>
      </c>
    </row>
    <row r="7" spans="1:14" x14ac:dyDescent="0.25">
      <c r="A7" s="2" t="s">
        <v>13</v>
      </c>
      <c r="B7" s="2" t="s">
        <v>14</v>
      </c>
      <c r="C7" s="2" t="s">
        <v>38</v>
      </c>
      <c r="D7" s="2" t="s">
        <v>16</v>
      </c>
      <c r="E7" s="2" t="s">
        <v>17</v>
      </c>
      <c r="F7" s="2" t="s">
        <v>18</v>
      </c>
      <c r="G7" s="2" t="s">
        <v>39</v>
      </c>
      <c r="H7" s="2" t="s">
        <v>26</v>
      </c>
      <c r="I7" s="2" t="s">
        <v>40</v>
      </c>
      <c r="J7" s="10">
        <v>1</v>
      </c>
      <c r="K7" s="2" t="s">
        <v>18</v>
      </c>
      <c r="L7" s="2" t="s">
        <v>22</v>
      </c>
      <c r="M7" s="2" t="s">
        <v>23</v>
      </c>
      <c r="N7" s="5" t="str">
        <f t="shared" si="0"/>
        <v>RJ</v>
      </c>
    </row>
    <row r="8" spans="1:14" x14ac:dyDescent="0.25">
      <c r="A8" s="2" t="s">
        <v>13</v>
      </c>
      <c r="B8" s="2" t="s">
        <v>14</v>
      </c>
      <c r="C8" s="2" t="s">
        <v>41</v>
      </c>
      <c r="D8" s="2" t="s">
        <v>16</v>
      </c>
      <c r="E8" s="2" t="s">
        <v>17</v>
      </c>
      <c r="F8" s="2" t="s">
        <v>18</v>
      </c>
      <c r="G8" s="2" t="s">
        <v>39</v>
      </c>
      <c r="H8" s="2" t="s">
        <v>26</v>
      </c>
      <c r="I8" s="2" t="s">
        <v>42</v>
      </c>
      <c r="J8" s="10">
        <v>1</v>
      </c>
      <c r="K8" s="2" t="s">
        <v>18</v>
      </c>
      <c r="L8" s="2" t="s">
        <v>22</v>
      </c>
      <c r="M8" s="2" t="s">
        <v>23</v>
      </c>
      <c r="N8" s="5" t="str">
        <f t="shared" si="0"/>
        <v>RJ</v>
      </c>
    </row>
    <row r="9" spans="1:14" x14ac:dyDescent="0.25">
      <c r="A9" s="2" t="s">
        <v>13</v>
      </c>
      <c r="B9" s="2" t="s">
        <v>14</v>
      </c>
      <c r="C9" s="2" t="s">
        <v>43</v>
      </c>
      <c r="D9" s="2" t="s">
        <v>16</v>
      </c>
      <c r="E9" s="2" t="s">
        <v>17</v>
      </c>
      <c r="F9" s="2" t="s">
        <v>18</v>
      </c>
      <c r="G9" s="2" t="s">
        <v>39</v>
      </c>
      <c r="H9" s="2" t="s">
        <v>26</v>
      </c>
      <c r="I9" s="2" t="s">
        <v>44</v>
      </c>
      <c r="J9" s="10">
        <v>1</v>
      </c>
      <c r="K9" s="2" t="s">
        <v>18</v>
      </c>
      <c r="L9" s="2" t="s">
        <v>22</v>
      </c>
      <c r="M9" s="2" t="s">
        <v>23</v>
      </c>
      <c r="N9" s="5" t="str">
        <f t="shared" si="0"/>
        <v>RJ</v>
      </c>
    </row>
    <row r="10" spans="1:14" x14ac:dyDescent="0.25">
      <c r="A10" s="2" t="s">
        <v>13</v>
      </c>
      <c r="B10" s="2" t="s">
        <v>14</v>
      </c>
      <c r="C10" s="2" t="s">
        <v>45</v>
      </c>
      <c r="D10" s="2" t="s">
        <v>16</v>
      </c>
      <c r="E10" s="2" t="s">
        <v>17</v>
      </c>
      <c r="F10" s="2" t="s">
        <v>18</v>
      </c>
      <c r="G10" s="2" t="s">
        <v>46</v>
      </c>
      <c r="H10" s="2" t="s">
        <v>30</v>
      </c>
      <c r="I10" s="2" t="s">
        <v>47</v>
      </c>
      <c r="J10" s="10">
        <v>1</v>
      </c>
      <c r="K10" s="2" t="s">
        <v>18</v>
      </c>
      <c r="L10" s="2" t="s">
        <v>22</v>
      </c>
      <c r="M10" s="2" t="s">
        <v>23</v>
      </c>
      <c r="N10" s="5" t="str">
        <f t="shared" si="0"/>
        <v>RJ</v>
      </c>
    </row>
    <row r="11" spans="1:14" x14ac:dyDescent="0.25">
      <c r="A11" s="2" t="s">
        <v>13</v>
      </c>
      <c r="B11" s="2" t="s">
        <v>14</v>
      </c>
      <c r="C11" s="2" t="s">
        <v>48</v>
      </c>
      <c r="D11" s="2" t="s">
        <v>16</v>
      </c>
      <c r="E11" s="2" t="s">
        <v>17</v>
      </c>
      <c r="F11" s="2" t="s">
        <v>18</v>
      </c>
      <c r="G11" s="2" t="s">
        <v>46</v>
      </c>
      <c r="H11" s="2" t="s">
        <v>26</v>
      </c>
      <c r="I11" s="2" t="s">
        <v>49</v>
      </c>
      <c r="J11" s="10">
        <v>1</v>
      </c>
      <c r="K11" s="2" t="s">
        <v>18</v>
      </c>
      <c r="L11" s="2" t="s">
        <v>22</v>
      </c>
      <c r="M11" s="2" t="s">
        <v>23</v>
      </c>
      <c r="N11" s="5" t="str">
        <f t="shared" si="0"/>
        <v>RJ</v>
      </c>
    </row>
    <row r="12" spans="1:14" x14ac:dyDescent="0.25">
      <c r="A12" s="2" t="s">
        <v>13</v>
      </c>
      <c r="B12" s="2" t="s">
        <v>14</v>
      </c>
      <c r="C12" s="2" t="s">
        <v>50</v>
      </c>
      <c r="D12" s="2" t="s">
        <v>16</v>
      </c>
      <c r="E12" s="2" t="s">
        <v>17</v>
      </c>
      <c r="F12" s="2" t="s">
        <v>18</v>
      </c>
      <c r="G12" s="2" t="s">
        <v>51</v>
      </c>
      <c r="H12" s="2" t="s">
        <v>26</v>
      </c>
      <c r="I12" s="2" t="s">
        <v>52</v>
      </c>
      <c r="J12" s="10">
        <v>1</v>
      </c>
      <c r="K12" s="2" t="s">
        <v>18</v>
      </c>
      <c r="L12" s="2" t="s">
        <v>22</v>
      </c>
      <c r="M12" s="2" t="s">
        <v>23</v>
      </c>
      <c r="N12" s="5" t="str">
        <f t="shared" si="0"/>
        <v>RJ</v>
      </c>
    </row>
    <row r="13" spans="1:14" x14ac:dyDescent="0.25">
      <c r="A13" s="2" t="s">
        <v>13</v>
      </c>
      <c r="B13" s="2" t="s">
        <v>14</v>
      </c>
      <c r="C13" s="2" t="s">
        <v>53</v>
      </c>
      <c r="D13" s="2" t="s">
        <v>16</v>
      </c>
      <c r="E13" s="2" t="s">
        <v>17</v>
      </c>
      <c r="F13" s="2" t="s">
        <v>18</v>
      </c>
      <c r="G13" s="2" t="s">
        <v>51</v>
      </c>
      <c r="H13" s="2" t="s">
        <v>26</v>
      </c>
      <c r="I13" s="2" t="s">
        <v>54</v>
      </c>
      <c r="J13" s="10">
        <v>1</v>
      </c>
      <c r="K13" s="2" t="s">
        <v>18</v>
      </c>
      <c r="L13" s="2" t="s">
        <v>22</v>
      </c>
      <c r="M13" s="2" t="s">
        <v>23</v>
      </c>
      <c r="N13" s="5" t="str">
        <f t="shared" si="0"/>
        <v>RJ</v>
      </c>
    </row>
    <row r="14" spans="1:14" x14ac:dyDescent="0.25">
      <c r="A14" s="2" t="s">
        <v>13</v>
      </c>
      <c r="B14" s="2" t="s">
        <v>14</v>
      </c>
      <c r="C14" s="2" t="s">
        <v>55</v>
      </c>
      <c r="D14" s="2" t="s">
        <v>16</v>
      </c>
      <c r="E14" s="2" t="s">
        <v>17</v>
      </c>
      <c r="F14" s="2" t="s">
        <v>18</v>
      </c>
      <c r="G14" s="2" t="s">
        <v>56</v>
      </c>
      <c r="H14" s="2" t="s">
        <v>26</v>
      </c>
      <c r="I14" s="2" t="s">
        <v>57</v>
      </c>
      <c r="J14" s="10">
        <v>1</v>
      </c>
      <c r="K14" s="2" t="s">
        <v>18</v>
      </c>
      <c r="L14" s="2" t="s">
        <v>22</v>
      </c>
      <c r="M14" s="2" t="s">
        <v>23</v>
      </c>
      <c r="N14" s="5" t="str">
        <f t="shared" si="0"/>
        <v>RJ</v>
      </c>
    </row>
    <row r="15" spans="1:14" x14ac:dyDescent="0.25">
      <c r="A15" s="2" t="s">
        <v>13</v>
      </c>
      <c r="B15" s="2" t="s">
        <v>14</v>
      </c>
      <c r="C15" s="2" t="s">
        <v>58</v>
      </c>
      <c r="D15" s="2" t="s">
        <v>16</v>
      </c>
      <c r="E15" s="2" t="s">
        <v>17</v>
      </c>
      <c r="F15" s="2" t="s">
        <v>18</v>
      </c>
      <c r="G15" s="2" t="s">
        <v>59</v>
      </c>
      <c r="H15" s="2" t="s">
        <v>26</v>
      </c>
      <c r="I15" s="2" t="s">
        <v>60</v>
      </c>
      <c r="J15" s="10">
        <v>1</v>
      </c>
      <c r="K15" s="2" t="s">
        <v>18</v>
      </c>
      <c r="L15" s="2" t="s">
        <v>22</v>
      </c>
      <c r="M15" s="2" t="s">
        <v>23</v>
      </c>
      <c r="N15" s="5" t="str">
        <f t="shared" si="0"/>
        <v>RJ</v>
      </c>
    </row>
    <row r="16" spans="1:14" x14ac:dyDescent="0.25">
      <c r="A16" s="2" t="s">
        <v>13</v>
      </c>
      <c r="B16" s="2" t="s">
        <v>14</v>
      </c>
      <c r="C16" s="2" t="s">
        <v>61</v>
      </c>
      <c r="D16" s="2" t="s">
        <v>16</v>
      </c>
      <c r="E16" s="2" t="s">
        <v>17</v>
      </c>
      <c r="F16" s="2" t="s">
        <v>18</v>
      </c>
      <c r="G16" s="2" t="s">
        <v>62</v>
      </c>
      <c r="H16" s="2" t="s">
        <v>20</v>
      </c>
      <c r="I16" s="2" t="s">
        <v>63</v>
      </c>
      <c r="J16" s="10">
        <v>1</v>
      </c>
      <c r="K16" s="2" t="s">
        <v>18</v>
      </c>
      <c r="L16" s="2" t="s">
        <v>22</v>
      </c>
      <c r="M16" s="2" t="s">
        <v>23</v>
      </c>
      <c r="N16" s="5" t="str">
        <f t="shared" si="0"/>
        <v>RJ</v>
      </c>
    </row>
    <row r="17" spans="1:14" x14ac:dyDescent="0.25">
      <c r="A17" s="2" t="s">
        <v>13</v>
      </c>
      <c r="B17" s="2" t="s">
        <v>14</v>
      </c>
      <c r="C17" s="2" t="s">
        <v>64</v>
      </c>
      <c r="D17" s="2" t="s">
        <v>16</v>
      </c>
      <c r="E17" s="2" t="s">
        <v>17</v>
      </c>
      <c r="F17" s="2" t="s">
        <v>18</v>
      </c>
      <c r="G17" s="2" t="s">
        <v>65</v>
      </c>
      <c r="H17" s="2" t="s">
        <v>26</v>
      </c>
      <c r="I17" s="2" t="s">
        <v>66</v>
      </c>
      <c r="J17" s="10">
        <v>1</v>
      </c>
      <c r="K17" s="2" t="s">
        <v>18</v>
      </c>
      <c r="L17" s="2" t="s">
        <v>22</v>
      </c>
      <c r="M17" s="2" t="s">
        <v>23</v>
      </c>
      <c r="N17" s="5" t="str">
        <f t="shared" si="0"/>
        <v>RJ</v>
      </c>
    </row>
    <row r="18" spans="1:14" x14ac:dyDescent="0.25">
      <c r="A18" s="2" t="s">
        <v>13</v>
      </c>
      <c r="B18" s="2" t="s">
        <v>14</v>
      </c>
      <c r="C18" s="2" t="s">
        <v>67</v>
      </c>
      <c r="D18" s="2" t="s">
        <v>16</v>
      </c>
      <c r="E18" s="2" t="s">
        <v>17</v>
      </c>
      <c r="F18" s="2" t="s">
        <v>18</v>
      </c>
      <c r="G18" s="2" t="s">
        <v>65</v>
      </c>
      <c r="H18" s="2" t="s">
        <v>20</v>
      </c>
      <c r="I18" s="2" t="s">
        <v>68</v>
      </c>
      <c r="J18" s="10">
        <v>1</v>
      </c>
      <c r="K18" s="2" t="s">
        <v>18</v>
      </c>
      <c r="L18" s="2" t="s">
        <v>22</v>
      </c>
      <c r="M18" s="2" t="s">
        <v>23</v>
      </c>
      <c r="N18" s="5" t="str">
        <f t="shared" si="0"/>
        <v>RJ</v>
      </c>
    </row>
    <row r="19" spans="1:14" x14ac:dyDescent="0.25">
      <c r="A19" s="2" t="s">
        <v>13</v>
      </c>
      <c r="B19" s="2" t="s">
        <v>14</v>
      </c>
      <c r="C19" s="2" t="s">
        <v>69</v>
      </c>
      <c r="D19" s="2" t="s">
        <v>16</v>
      </c>
      <c r="E19" s="2" t="s">
        <v>17</v>
      </c>
      <c r="F19" s="2" t="s">
        <v>18</v>
      </c>
      <c r="G19" s="2" t="s">
        <v>70</v>
      </c>
      <c r="H19" s="2" t="s">
        <v>26</v>
      </c>
      <c r="I19" s="2" t="s">
        <v>71</v>
      </c>
      <c r="J19" s="10">
        <v>1</v>
      </c>
      <c r="K19" s="2" t="s">
        <v>18</v>
      </c>
      <c r="L19" s="2" t="s">
        <v>22</v>
      </c>
      <c r="M19" s="2" t="s">
        <v>23</v>
      </c>
      <c r="N19" s="5" t="str">
        <f t="shared" si="0"/>
        <v>RJ</v>
      </c>
    </row>
    <row r="20" spans="1:14" x14ac:dyDescent="0.25">
      <c r="A20" s="2" t="s">
        <v>13</v>
      </c>
      <c r="B20" s="2" t="s">
        <v>14</v>
      </c>
      <c r="C20" s="2" t="s">
        <v>72</v>
      </c>
      <c r="D20" s="2" t="s">
        <v>16</v>
      </c>
      <c r="E20" s="2" t="s">
        <v>17</v>
      </c>
      <c r="F20" s="2" t="s">
        <v>18</v>
      </c>
      <c r="G20" s="2" t="s">
        <v>73</v>
      </c>
      <c r="H20" s="2" t="s">
        <v>20</v>
      </c>
      <c r="I20" s="2" t="s">
        <v>74</v>
      </c>
      <c r="J20" s="10">
        <v>1</v>
      </c>
      <c r="K20" s="2" t="s">
        <v>18</v>
      </c>
      <c r="L20" s="2" t="s">
        <v>22</v>
      </c>
      <c r="M20" s="2" t="s">
        <v>23</v>
      </c>
      <c r="N20" s="5" t="str">
        <f t="shared" si="0"/>
        <v>RJ</v>
      </c>
    </row>
    <row r="21" spans="1:14" x14ac:dyDescent="0.25">
      <c r="A21" s="2" t="s">
        <v>13</v>
      </c>
      <c r="B21" s="2" t="s">
        <v>14</v>
      </c>
      <c r="C21" s="2" t="s">
        <v>75</v>
      </c>
      <c r="D21" s="2" t="s">
        <v>16</v>
      </c>
      <c r="E21" s="2" t="s">
        <v>17</v>
      </c>
      <c r="F21" s="2" t="s">
        <v>18</v>
      </c>
      <c r="G21" s="2" t="s">
        <v>76</v>
      </c>
      <c r="H21" s="2" t="s">
        <v>26</v>
      </c>
      <c r="I21" s="2" t="s">
        <v>77</v>
      </c>
      <c r="J21" s="10">
        <v>1</v>
      </c>
      <c r="K21" s="2" t="s">
        <v>18</v>
      </c>
      <c r="L21" s="2" t="s">
        <v>22</v>
      </c>
      <c r="M21" s="2" t="s">
        <v>23</v>
      </c>
      <c r="N21" s="5" t="str">
        <f t="shared" si="0"/>
        <v>RJ</v>
      </c>
    </row>
    <row r="22" spans="1:14" x14ac:dyDescent="0.25">
      <c r="A22" s="2" t="s">
        <v>13</v>
      </c>
      <c r="B22" s="2" t="s">
        <v>14</v>
      </c>
      <c r="C22" s="2" t="s">
        <v>78</v>
      </c>
      <c r="D22" s="2" t="s">
        <v>16</v>
      </c>
      <c r="E22" s="2" t="s">
        <v>17</v>
      </c>
      <c r="F22" s="2" t="s">
        <v>18</v>
      </c>
      <c r="G22" s="2" t="s">
        <v>79</v>
      </c>
      <c r="H22" s="2" t="s">
        <v>20</v>
      </c>
      <c r="I22" s="2" t="s">
        <v>80</v>
      </c>
      <c r="J22" s="10">
        <v>1</v>
      </c>
      <c r="K22" s="2" t="s">
        <v>18</v>
      </c>
      <c r="L22" s="2" t="s">
        <v>22</v>
      </c>
      <c r="M22" s="2" t="s">
        <v>23</v>
      </c>
      <c r="N22" s="5" t="str">
        <f t="shared" si="0"/>
        <v>RJ</v>
      </c>
    </row>
    <row r="23" spans="1:14" x14ac:dyDescent="0.25">
      <c r="A23" s="2" t="s">
        <v>13</v>
      </c>
      <c r="B23" s="2" t="s">
        <v>14</v>
      </c>
      <c r="C23" s="2" t="s">
        <v>81</v>
      </c>
      <c r="D23" s="2" t="s">
        <v>16</v>
      </c>
      <c r="E23" s="2" t="s">
        <v>17</v>
      </c>
      <c r="F23" s="2" t="s">
        <v>18</v>
      </c>
      <c r="G23" s="2" t="s">
        <v>82</v>
      </c>
      <c r="H23" s="2" t="s">
        <v>26</v>
      </c>
      <c r="I23" s="2" t="s">
        <v>83</v>
      </c>
      <c r="J23" s="10">
        <v>1</v>
      </c>
      <c r="K23" s="2" t="s">
        <v>18</v>
      </c>
      <c r="L23" s="2" t="s">
        <v>22</v>
      </c>
      <c r="M23" s="2" t="s">
        <v>23</v>
      </c>
      <c r="N23" s="5" t="str">
        <f t="shared" si="0"/>
        <v>RJ</v>
      </c>
    </row>
    <row r="24" spans="1:14" x14ac:dyDescent="0.25">
      <c r="A24" s="2" t="s">
        <v>13</v>
      </c>
      <c r="B24" s="2" t="s">
        <v>14</v>
      </c>
      <c r="C24" s="2" t="s">
        <v>84</v>
      </c>
      <c r="D24" s="2" t="s">
        <v>16</v>
      </c>
      <c r="E24" s="2" t="s">
        <v>17</v>
      </c>
      <c r="F24" s="2" t="s">
        <v>18</v>
      </c>
      <c r="G24" s="2" t="s">
        <v>82</v>
      </c>
      <c r="H24" s="2" t="s">
        <v>26</v>
      </c>
      <c r="I24" s="2" t="s">
        <v>85</v>
      </c>
      <c r="J24" s="10">
        <v>1</v>
      </c>
      <c r="K24" s="2" t="s">
        <v>18</v>
      </c>
      <c r="L24" s="2" t="s">
        <v>22</v>
      </c>
      <c r="M24" s="2" t="s">
        <v>23</v>
      </c>
      <c r="N24" s="5" t="str">
        <f t="shared" si="0"/>
        <v>RJ</v>
      </c>
    </row>
    <row r="25" spans="1:14" x14ac:dyDescent="0.25">
      <c r="A25" s="2" t="s">
        <v>13</v>
      </c>
      <c r="B25" s="2" t="s">
        <v>14</v>
      </c>
      <c r="C25" s="2" t="s">
        <v>86</v>
      </c>
      <c r="D25" s="2" t="s">
        <v>16</v>
      </c>
      <c r="E25" s="2" t="s">
        <v>17</v>
      </c>
      <c r="F25" s="2" t="s">
        <v>18</v>
      </c>
      <c r="G25" s="2" t="s">
        <v>87</v>
      </c>
      <c r="H25" s="2" t="s">
        <v>26</v>
      </c>
      <c r="I25" s="2" t="s">
        <v>88</v>
      </c>
      <c r="J25" s="10">
        <v>1</v>
      </c>
      <c r="K25" s="2" t="s">
        <v>18</v>
      </c>
      <c r="L25" s="2" t="s">
        <v>22</v>
      </c>
      <c r="M25" s="2" t="s">
        <v>23</v>
      </c>
      <c r="N25" s="5" t="str">
        <f t="shared" si="0"/>
        <v>RJ</v>
      </c>
    </row>
    <row r="26" spans="1:14" x14ac:dyDescent="0.25">
      <c r="A26" s="2" t="s">
        <v>13</v>
      </c>
      <c r="B26" s="2" t="s">
        <v>14</v>
      </c>
      <c r="C26" s="2" t="s">
        <v>89</v>
      </c>
      <c r="D26" s="2" t="s">
        <v>16</v>
      </c>
      <c r="E26" s="2" t="s">
        <v>17</v>
      </c>
      <c r="F26" s="2" t="s">
        <v>18</v>
      </c>
      <c r="G26" s="2" t="s">
        <v>87</v>
      </c>
      <c r="H26" s="2" t="s">
        <v>26</v>
      </c>
      <c r="I26" s="2" t="s">
        <v>90</v>
      </c>
      <c r="J26" s="10">
        <v>1</v>
      </c>
      <c r="K26" s="2" t="s">
        <v>18</v>
      </c>
      <c r="L26" s="2" t="s">
        <v>22</v>
      </c>
      <c r="M26" s="2" t="s">
        <v>23</v>
      </c>
      <c r="N26" s="5" t="str">
        <f t="shared" si="0"/>
        <v>RJ</v>
      </c>
    </row>
    <row r="27" spans="1:14" x14ac:dyDescent="0.25">
      <c r="A27" s="2" t="s">
        <v>13</v>
      </c>
      <c r="B27" s="2" t="s">
        <v>14</v>
      </c>
      <c r="C27" s="2" t="s">
        <v>91</v>
      </c>
      <c r="D27" s="2" t="s">
        <v>16</v>
      </c>
      <c r="E27" s="2" t="s">
        <v>17</v>
      </c>
      <c r="F27" s="2" t="s">
        <v>18</v>
      </c>
      <c r="G27" s="2" t="s">
        <v>92</v>
      </c>
      <c r="H27" s="2" t="s">
        <v>26</v>
      </c>
      <c r="I27" s="2" t="s">
        <v>93</v>
      </c>
      <c r="J27" s="10">
        <v>1</v>
      </c>
      <c r="K27" s="2" t="s">
        <v>18</v>
      </c>
      <c r="L27" s="2" t="s">
        <v>22</v>
      </c>
      <c r="M27" s="2" t="s">
        <v>23</v>
      </c>
      <c r="N27" s="5" t="str">
        <f t="shared" si="0"/>
        <v>RJ</v>
      </c>
    </row>
    <row r="28" spans="1:14" x14ac:dyDescent="0.25">
      <c r="A28" s="2" t="s">
        <v>13</v>
      </c>
      <c r="B28" s="2" t="s">
        <v>14</v>
      </c>
      <c r="C28" s="2" t="s">
        <v>94</v>
      </c>
      <c r="D28" s="2" t="s">
        <v>16</v>
      </c>
      <c r="E28" s="2" t="s">
        <v>17</v>
      </c>
      <c r="F28" s="2" t="s">
        <v>18</v>
      </c>
      <c r="G28" s="2" t="s">
        <v>95</v>
      </c>
      <c r="H28" s="2" t="s">
        <v>20</v>
      </c>
      <c r="I28" s="2" t="s">
        <v>96</v>
      </c>
      <c r="J28" s="10">
        <v>1</v>
      </c>
      <c r="K28" s="2" t="s">
        <v>18</v>
      </c>
      <c r="L28" s="2" t="s">
        <v>22</v>
      </c>
      <c r="M28" s="2" t="s">
        <v>23</v>
      </c>
      <c r="N28" s="5" t="str">
        <f t="shared" si="0"/>
        <v>RJ</v>
      </c>
    </row>
    <row r="29" spans="1:14" x14ac:dyDescent="0.25">
      <c r="A29" s="2" t="s">
        <v>13</v>
      </c>
      <c r="B29" s="2" t="s">
        <v>14</v>
      </c>
      <c r="C29" s="2" t="s">
        <v>97</v>
      </c>
      <c r="D29" s="2" t="s">
        <v>16</v>
      </c>
      <c r="E29" s="2" t="s">
        <v>17</v>
      </c>
      <c r="F29" s="2" t="s">
        <v>18</v>
      </c>
      <c r="G29" s="2" t="s">
        <v>98</v>
      </c>
      <c r="H29" s="2" t="s">
        <v>20</v>
      </c>
      <c r="I29" s="2" t="s">
        <v>99</v>
      </c>
      <c r="J29" s="10">
        <v>1</v>
      </c>
      <c r="K29" s="2" t="s">
        <v>18</v>
      </c>
      <c r="L29" s="2" t="s">
        <v>22</v>
      </c>
      <c r="M29" s="2" t="s">
        <v>23</v>
      </c>
      <c r="N29" s="5" t="str">
        <f t="shared" si="0"/>
        <v>RJ</v>
      </c>
    </row>
    <row r="30" spans="1:14" x14ac:dyDescent="0.25">
      <c r="A30" s="2" t="s">
        <v>13</v>
      </c>
      <c r="B30" s="2" t="s">
        <v>14</v>
      </c>
      <c r="C30" s="2" t="s">
        <v>100</v>
      </c>
      <c r="D30" s="2" t="s">
        <v>16</v>
      </c>
      <c r="E30" s="2" t="s">
        <v>17</v>
      </c>
      <c r="F30" s="2" t="s">
        <v>18</v>
      </c>
      <c r="G30" s="2" t="s">
        <v>98</v>
      </c>
      <c r="H30" s="2" t="s">
        <v>101</v>
      </c>
      <c r="I30" s="2" t="s">
        <v>102</v>
      </c>
      <c r="J30" s="10">
        <v>1</v>
      </c>
      <c r="K30" s="2" t="s">
        <v>18</v>
      </c>
      <c r="L30" s="2" t="s">
        <v>22</v>
      </c>
      <c r="M30" s="2" t="s">
        <v>23</v>
      </c>
      <c r="N30" s="5" t="str">
        <f t="shared" si="0"/>
        <v>RJ</v>
      </c>
    </row>
    <row r="31" spans="1:14" x14ac:dyDescent="0.25">
      <c r="A31" s="2" t="s">
        <v>13</v>
      </c>
      <c r="B31" s="2" t="s">
        <v>14</v>
      </c>
      <c r="C31" s="2" t="s">
        <v>103</v>
      </c>
      <c r="D31" s="2" t="s">
        <v>16</v>
      </c>
      <c r="E31" s="2" t="s">
        <v>17</v>
      </c>
      <c r="F31" s="2" t="s">
        <v>18</v>
      </c>
      <c r="G31" s="2" t="s">
        <v>104</v>
      </c>
      <c r="H31" s="2" t="s">
        <v>30</v>
      </c>
      <c r="I31" s="2" t="s">
        <v>105</v>
      </c>
      <c r="J31" s="10">
        <v>1</v>
      </c>
      <c r="K31" s="2" t="s">
        <v>18</v>
      </c>
      <c r="L31" s="2" t="s">
        <v>22</v>
      </c>
      <c r="M31" s="2" t="s">
        <v>23</v>
      </c>
      <c r="N31" s="5" t="str">
        <f t="shared" si="0"/>
        <v>RJ</v>
      </c>
    </row>
    <row r="32" spans="1:14" x14ac:dyDescent="0.25">
      <c r="A32" s="2" t="s">
        <v>13</v>
      </c>
      <c r="B32" s="2" t="s">
        <v>14</v>
      </c>
      <c r="C32" s="2" t="s">
        <v>106</v>
      </c>
      <c r="D32" s="2" t="s">
        <v>16</v>
      </c>
      <c r="E32" s="2" t="s">
        <v>17</v>
      </c>
      <c r="F32" s="2" t="s">
        <v>18</v>
      </c>
      <c r="G32" s="2" t="s">
        <v>107</v>
      </c>
      <c r="H32" s="2" t="s">
        <v>20</v>
      </c>
      <c r="I32" s="2" t="s">
        <v>108</v>
      </c>
      <c r="J32" s="10">
        <v>1</v>
      </c>
      <c r="K32" s="2" t="s">
        <v>18</v>
      </c>
      <c r="L32" s="2" t="s">
        <v>22</v>
      </c>
      <c r="M32" s="2" t="s">
        <v>23</v>
      </c>
      <c r="N32" s="5" t="str">
        <f t="shared" si="0"/>
        <v>RJ</v>
      </c>
    </row>
    <row r="33" spans="1:14" x14ac:dyDescent="0.25">
      <c r="A33" s="2" t="s">
        <v>13</v>
      </c>
      <c r="B33" s="2" t="s">
        <v>14</v>
      </c>
      <c r="C33" s="2" t="s">
        <v>109</v>
      </c>
      <c r="D33" s="2" t="s">
        <v>16</v>
      </c>
      <c r="E33" s="2" t="s">
        <v>17</v>
      </c>
      <c r="F33" s="2" t="s">
        <v>18</v>
      </c>
      <c r="G33" s="2" t="s">
        <v>110</v>
      </c>
      <c r="H33" s="2" t="s">
        <v>30</v>
      </c>
      <c r="I33" s="2" t="s">
        <v>111</v>
      </c>
      <c r="J33" s="10">
        <v>1</v>
      </c>
      <c r="K33" s="2" t="s">
        <v>18</v>
      </c>
      <c r="L33" s="2" t="s">
        <v>22</v>
      </c>
      <c r="M33" s="2" t="s">
        <v>23</v>
      </c>
      <c r="N33" s="5" t="str">
        <f t="shared" si="0"/>
        <v>RJ</v>
      </c>
    </row>
    <row r="34" spans="1:14" x14ac:dyDescent="0.25">
      <c r="A34" s="2" t="s">
        <v>13</v>
      </c>
      <c r="B34" s="2" t="s">
        <v>14</v>
      </c>
      <c r="C34" s="2" t="s">
        <v>112</v>
      </c>
      <c r="D34" s="2" t="s">
        <v>16</v>
      </c>
      <c r="E34" s="2" t="s">
        <v>17</v>
      </c>
      <c r="F34" s="2" t="s">
        <v>18</v>
      </c>
      <c r="G34" s="2" t="s">
        <v>110</v>
      </c>
      <c r="H34" s="2" t="s">
        <v>26</v>
      </c>
      <c r="I34" s="2" t="s">
        <v>113</v>
      </c>
      <c r="J34" s="10">
        <v>1</v>
      </c>
      <c r="K34" s="2" t="s">
        <v>18</v>
      </c>
      <c r="L34" s="2" t="s">
        <v>22</v>
      </c>
      <c r="M34" s="2" t="s">
        <v>23</v>
      </c>
      <c r="N34" s="5" t="str">
        <f t="shared" si="0"/>
        <v>RJ</v>
      </c>
    </row>
    <row r="35" spans="1:14" x14ac:dyDescent="0.25">
      <c r="A35" s="2" t="s">
        <v>13</v>
      </c>
      <c r="B35" s="2" t="s">
        <v>14</v>
      </c>
      <c r="C35" s="2" t="s">
        <v>114</v>
      </c>
      <c r="D35" s="2" t="s">
        <v>16</v>
      </c>
      <c r="E35" s="2" t="s">
        <v>17</v>
      </c>
      <c r="F35" s="2" t="s">
        <v>18</v>
      </c>
      <c r="G35" s="2" t="s">
        <v>115</v>
      </c>
      <c r="H35" s="2" t="s">
        <v>26</v>
      </c>
      <c r="I35" s="2" t="s">
        <v>116</v>
      </c>
      <c r="J35" s="10">
        <v>1</v>
      </c>
      <c r="K35" s="2" t="s">
        <v>18</v>
      </c>
      <c r="L35" s="2" t="s">
        <v>22</v>
      </c>
      <c r="M35" s="2" t="s">
        <v>23</v>
      </c>
      <c r="N35" s="5" t="str">
        <f t="shared" si="0"/>
        <v>RJ</v>
      </c>
    </row>
    <row r="36" spans="1:14" x14ac:dyDescent="0.25">
      <c r="A36" s="2" t="s">
        <v>13</v>
      </c>
      <c r="B36" s="2" t="s">
        <v>14</v>
      </c>
      <c r="C36" s="2" t="s">
        <v>117</v>
      </c>
      <c r="D36" s="2" t="s">
        <v>16</v>
      </c>
      <c r="E36" s="2" t="s">
        <v>17</v>
      </c>
      <c r="F36" s="2" t="s">
        <v>18</v>
      </c>
      <c r="G36" s="2" t="s">
        <v>118</v>
      </c>
      <c r="H36" s="2" t="s">
        <v>20</v>
      </c>
      <c r="I36" s="2" t="s">
        <v>119</v>
      </c>
      <c r="J36" s="10">
        <v>1</v>
      </c>
      <c r="K36" s="2" t="s">
        <v>18</v>
      </c>
      <c r="L36" s="2" t="s">
        <v>22</v>
      </c>
      <c r="M36" s="2" t="s">
        <v>23</v>
      </c>
      <c r="N36" s="5" t="str">
        <f t="shared" si="0"/>
        <v>RJ</v>
      </c>
    </row>
    <row r="37" spans="1:14" x14ac:dyDescent="0.25">
      <c r="A37" s="2" t="s">
        <v>13</v>
      </c>
      <c r="B37" s="2" t="s">
        <v>14</v>
      </c>
      <c r="C37" s="2" t="s">
        <v>120</v>
      </c>
      <c r="D37" s="2" t="s">
        <v>16</v>
      </c>
      <c r="E37" s="2" t="s">
        <v>17</v>
      </c>
      <c r="F37" s="2" t="s">
        <v>18</v>
      </c>
      <c r="G37" s="2" t="s">
        <v>118</v>
      </c>
      <c r="H37" s="2" t="s">
        <v>20</v>
      </c>
      <c r="I37" s="2" t="s">
        <v>121</v>
      </c>
      <c r="J37" s="10">
        <v>1</v>
      </c>
      <c r="K37" s="2" t="s">
        <v>18</v>
      </c>
      <c r="L37" s="2" t="s">
        <v>22</v>
      </c>
      <c r="M37" s="2" t="s">
        <v>23</v>
      </c>
      <c r="N37" s="5" t="str">
        <f t="shared" si="0"/>
        <v>RJ</v>
      </c>
    </row>
    <row r="38" spans="1:14" x14ac:dyDescent="0.25">
      <c r="A38" s="2" t="s">
        <v>13</v>
      </c>
      <c r="B38" s="2" t="s">
        <v>14</v>
      </c>
      <c r="C38" s="2" t="s">
        <v>122</v>
      </c>
      <c r="D38" s="2" t="s">
        <v>16</v>
      </c>
      <c r="E38" s="2" t="s">
        <v>17</v>
      </c>
      <c r="F38" s="2" t="s">
        <v>18</v>
      </c>
      <c r="G38" s="2" t="s">
        <v>123</v>
      </c>
      <c r="H38" s="2" t="s">
        <v>30</v>
      </c>
      <c r="I38" s="2" t="s">
        <v>124</v>
      </c>
      <c r="J38" s="10">
        <v>1</v>
      </c>
      <c r="K38" s="2" t="s">
        <v>18</v>
      </c>
      <c r="L38" s="2" t="s">
        <v>22</v>
      </c>
      <c r="M38" s="2" t="s">
        <v>23</v>
      </c>
      <c r="N38" s="5" t="str">
        <f t="shared" si="0"/>
        <v>RJ</v>
      </c>
    </row>
    <row r="39" spans="1:14" x14ac:dyDescent="0.25">
      <c r="A39" s="2" t="s">
        <v>13</v>
      </c>
      <c r="B39" s="2" t="s">
        <v>14</v>
      </c>
      <c r="C39" s="2" t="s">
        <v>125</v>
      </c>
      <c r="D39" s="2" t="s">
        <v>16</v>
      </c>
      <c r="E39" s="2" t="s">
        <v>17</v>
      </c>
      <c r="F39" s="2" t="s">
        <v>18</v>
      </c>
      <c r="G39" s="2" t="s">
        <v>126</v>
      </c>
      <c r="H39" s="2" t="s">
        <v>26</v>
      </c>
      <c r="I39" s="2" t="s">
        <v>127</v>
      </c>
      <c r="J39" s="10">
        <v>1</v>
      </c>
      <c r="K39" s="2" t="s">
        <v>18</v>
      </c>
      <c r="L39" s="2" t="s">
        <v>22</v>
      </c>
      <c r="M39" s="2" t="s">
        <v>23</v>
      </c>
      <c r="N39" s="5" t="str">
        <f t="shared" si="0"/>
        <v>RJ</v>
      </c>
    </row>
    <row r="40" spans="1:14" x14ac:dyDescent="0.25">
      <c r="A40" s="2" t="s">
        <v>13</v>
      </c>
      <c r="B40" s="2" t="s">
        <v>14</v>
      </c>
      <c r="C40" s="2" t="s">
        <v>128</v>
      </c>
      <c r="D40" s="2" t="s">
        <v>16</v>
      </c>
      <c r="E40" s="2" t="s">
        <v>17</v>
      </c>
      <c r="F40" s="2" t="s">
        <v>18</v>
      </c>
      <c r="G40" s="2" t="s">
        <v>126</v>
      </c>
      <c r="H40" s="2" t="s">
        <v>20</v>
      </c>
      <c r="I40" s="2" t="s">
        <v>129</v>
      </c>
      <c r="J40" s="10">
        <v>1</v>
      </c>
      <c r="K40" s="2" t="s">
        <v>18</v>
      </c>
      <c r="L40" s="2" t="s">
        <v>22</v>
      </c>
      <c r="M40" s="2" t="s">
        <v>23</v>
      </c>
      <c r="N40" s="5" t="str">
        <f t="shared" si="0"/>
        <v>RJ</v>
      </c>
    </row>
    <row r="41" spans="1:14" x14ac:dyDescent="0.25">
      <c r="A41" s="2" t="s">
        <v>13</v>
      </c>
      <c r="B41" s="2" t="s">
        <v>14</v>
      </c>
      <c r="C41" s="2" t="s">
        <v>130</v>
      </c>
      <c r="D41" s="2" t="s">
        <v>16</v>
      </c>
      <c r="E41" s="2" t="s">
        <v>17</v>
      </c>
      <c r="F41" s="2" t="s">
        <v>18</v>
      </c>
      <c r="G41" s="2" t="s">
        <v>131</v>
      </c>
      <c r="H41" s="2" t="s">
        <v>26</v>
      </c>
      <c r="I41" s="2" t="s">
        <v>132</v>
      </c>
      <c r="J41" s="10">
        <v>1</v>
      </c>
      <c r="K41" s="2" t="s">
        <v>18</v>
      </c>
      <c r="L41" s="2" t="s">
        <v>22</v>
      </c>
      <c r="M41" s="2" t="s">
        <v>23</v>
      </c>
      <c r="N41" s="5" t="str">
        <f t="shared" si="0"/>
        <v>RJ</v>
      </c>
    </row>
    <row r="42" spans="1:14" x14ac:dyDescent="0.25">
      <c r="A42" s="2" t="s">
        <v>13</v>
      </c>
      <c r="B42" s="2" t="s">
        <v>14</v>
      </c>
      <c r="C42" s="2" t="s">
        <v>133</v>
      </c>
      <c r="D42" s="2" t="s">
        <v>16</v>
      </c>
      <c r="E42" s="2" t="s">
        <v>17</v>
      </c>
      <c r="F42" s="2" t="s">
        <v>18</v>
      </c>
      <c r="G42" s="2" t="s">
        <v>131</v>
      </c>
      <c r="H42" s="2" t="s">
        <v>26</v>
      </c>
      <c r="I42" s="2" t="s">
        <v>134</v>
      </c>
      <c r="J42" s="10">
        <v>1</v>
      </c>
      <c r="K42" s="2" t="s">
        <v>18</v>
      </c>
      <c r="L42" s="2" t="s">
        <v>22</v>
      </c>
      <c r="M42" s="2" t="s">
        <v>23</v>
      </c>
      <c r="N42" s="5" t="str">
        <f t="shared" si="0"/>
        <v>RJ</v>
      </c>
    </row>
    <row r="43" spans="1:14" x14ac:dyDescent="0.25">
      <c r="A43" s="2" t="s">
        <v>13</v>
      </c>
      <c r="B43" s="2" t="s">
        <v>14</v>
      </c>
      <c r="C43" s="2" t="s">
        <v>135</v>
      </c>
      <c r="D43" s="2" t="s">
        <v>16</v>
      </c>
      <c r="E43" s="2" t="s">
        <v>17</v>
      </c>
      <c r="F43" s="2" t="s">
        <v>18</v>
      </c>
      <c r="G43" s="2" t="s">
        <v>136</v>
      </c>
      <c r="H43" s="2" t="s">
        <v>20</v>
      </c>
      <c r="I43" s="2" t="s">
        <v>137</v>
      </c>
      <c r="J43" s="10">
        <v>1</v>
      </c>
      <c r="K43" s="2" t="s">
        <v>18</v>
      </c>
      <c r="L43" s="2" t="s">
        <v>22</v>
      </c>
      <c r="M43" s="2" t="s">
        <v>23</v>
      </c>
      <c r="N43" s="5" t="str">
        <f t="shared" si="0"/>
        <v>RJ</v>
      </c>
    </row>
    <row r="44" spans="1:14" x14ac:dyDescent="0.25">
      <c r="A44" s="2" t="s">
        <v>13</v>
      </c>
      <c r="B44" s="2" t="s">
        <v>14</v>
      </c>
      <c r="C44" s="2" t="s">
        <v>138</v>
      </c>
      <c r="D44" s="2" t="s">
        <v>16</v>
      </c>
      <c r="E44" s="2" t="s">
        <v>17</v>
      </c>
      <c r="F44" s="2" t="s">
        <v>18</v>
      </c>
      <c r="G44" s="2" t="s">
        <v>139</v>
      </c>
      <c r="H44" s="2" t="s">
        <v>20</v>
      </c>
      <c r="I44" s="2" t="s">
        <v>140</v>
      </c>
      <c r="J44" s="10">
        <v>1</v>
      </c>
      <c r="K44" s="2" t="s">
        <v>18</v>
      </c>
      <c r="L44" s="2" t="s">
        <v>22</v>
      </c>
      <c r="M44" s="2" t="s">
        <v>23</v>
      </c>
      <c r="N44" s="5" t="str">
        <f t="shared" si="0"/>
        <v>RJ</v>
      </c>
    </row>
    <row r="45" spans="1:14" x14ac:dyDescent="0.25">
      <c r="A45" s="2" t="s">
        <v>13</v>
      </c>
      <c r="B45" s="2" t="s">
        <v>14</v>
      </c>
      <c r="C45" s="2" t="s">
        <v>141</v>
      </c>
      <c r="D45" s="2" t="s">
        <v>16</v>
      </c>
      <c r="E45" s="2" t="s">
        <v>17</v>
      </c>
      <c r="F45" s="2" t="s">
        <v>18</v>
      </c>
      <c r="G45" s="2" t="s">
        <v>142</v>
      </c>
      <c r="H45" s="2" t="s">
        <v>26</v>
      </c>
      <c r="I45" s="2" t="s">
        <v>143</v>
      </c>
      <c r="J45" s="10">
        <v>1</v>
      </c>
      <c r="K45" s="2" t="s">
        <v>18</v>
      </c>
      <c r="L45" s="2" t="s">
        <v>22</v>
      </c>
      <c r="M45" s="2" t="s">
        <v>23</v>
      </c>
      <c r="N45" s="5" t="str">
        <f t="shared" si="0"/>
        <v>RJ</v>
      </c>
    </row>
    <row r="46" spans="1:14" x14ac:dyDescent="0.25">
      <c r="A46" s="2" t="s">
        <v>13</v>
      </c>
      <c r="B46" s="2" t="s">
        <v>14</v>
      </c>
      <c r="C46" s="2" t="s">
        <v>144</v>
      </c>
      <c r="D46" s="2" t="s">
        <v>16</v>
      </c>
      <c r="E46" s="2" t="s">
        <v>17</v>
      </c>
      <c r="F46" s="2" t="s">
        <v>18</v>
      </c>
      <c r="G46" s="2" t="s">
        <v>145</v>
      </c>
      <c r="H46" s="2" t="s">
        <v>26</v>
      </c>
      <c r="I46" s="2" t="s">
        <v>146</v>
      </c>
      <c r="J46" s="10">
        <v>1</v>
      </c>
      <c r="K46" s="2" t="s">
        <v>18</v>
      </c>
      <c r="L46" s="2" t="s">
        <v>22</v>
      </c>
      <c r="M46" s="2" t="s">
        <v>23</v>
      </c>
      <c r="N46" s="5" t="str">
        <f t="shared" si="0"/>
        <v>RJ</v>
      </c>
    </row>
    <row r="47" spans="1:14" x14ac:dyDescent="0.25">
      <c r="A47" s="2" t="s">
        <v>13</v>
      </c>
      <c r="B47" s="2" t="s">
        <v>14</v>
      </c>
      <c r="C47" s="2" t="s">
        <v>147</v>
      </c>
      <c r="D47" s="2" t="s">
        <v>16</v>
      </c>
      <c r="E47" s="2" t="s">
        <v>17</v>
      </c>
      <c r="F47" s="2" t="s">
        <v>18</v>
      </c>
      <c r="G47" s="2" t="s">
        <v>148</v>
      </c>
      <c r="H47" s="2" t="s">
        <v>26</v>
      </c>
      <c r="I47" s="2" t="s">
        <v>149</v>
      </c>
      <c r="J47" s="10">
        <v>1</v>
      </c>
      <c r="K47" s="2" t="s">
        <v>18</v>
      </c>
      <c r="L47" s="2" t="s">
        <v>22</v>
      </c>
      <c r="M47" s="2" t="s">
        <v>23</v>
      </c>
      <c r="N47" s="5" t="str">
        <f t="shared" si="0"/>
        <v>RJ</v>
      </c>
    </row>
    <row r="48" spans="1:14" x14ac:dyDescent="0.25">
      <c r="A48" s="2" t="s">
        <v>13</v>
      </c>
      <c r="B48" s="2" t="s">
        <v>14</v>
      </c>
      <c r="C48" s="2" t="s">
        <v>150</v>
      </c>
      <c r="D48" s="2" t="s">
        <v>16</v>
      </c>
      <c r="E48" s="2" t="s">
        <v>17</v>
      </c>
      <c r="F48" s="2" t="s">
        <v>18</v>
      </c>
      <c r="G48" s="2" t="s">
        <v>148</v>
      </c>
      <c r="H48" s="2" t="s">
        <v>26</v>
      </c>
      <c r="I48" s="2" t="s">
        <v>151</v>
      </c>
      <c r="J48" s="10">
        <v>1</v>
      </c>
      <c r="K48" s="2" t="s">
        <v>18</v>
      </c>
      <c r="L48" s="2" t="s">
        <v>22</v>
      </c>
      <c r="M48" s="2" t="s">
        <v>23</v>
      </c>
      <c r="N48" s="5" t="str">
        <f t="shared" si="0"/>
        <v>RJ</v>
      </c>
    </row>
    <row r="49" spans="1:14" x14ac:dyDescent="0.25">
      <c r="A49" s="2" t="s">
        <v>13</v>
      </c>
      <c r="B49" s="2" t="s">
        <v>14</v>
      </c>
      <c r="C49" s="2" t="s">
        <v>152</v>
      </c>
      <c r="D49" s="2" t="s">
        <v>16</v>
      </c>
      <c r="E49" s="2" t="s">
        <v>17</v>
      </c>
      <c r="F49" s="2" t="s">
        <v>18</v>
      </c>
      <c r="G49" s="2" t="s">
        <v>148</v>
      </c>
      <c r="H49" s="2" t="s">
        <v>20</v>
      </c>
      <c r="I49" s="2" t="s">
        <v>153</v>
      </c>
      <c r="J49" s="10">
        <v>1</v>
      </c>
      <c r="K49" s="2" t="s">
        <v>18</v>
      </c>
      <c r="L49" s="2" t="s">
        <v>22</v>
      </c>
      <c r="M49" s="2" t="s">
        <v>23</v>
      </c>
      <c r="N49" s="5" t="str">
        <f t="shared" si="0"/>
        <v>RJ</v>
      </c>
    </row>
    <row r="50" spans="1:14" x14ac:dyDescent="0.25">
      <c r="A50" s="2" t="s">
        <v>13</v>
      </c>
      <c r="B50" s="2" t="s">
        <v>14</v>
      </c>
      <c r="C50" s="2" t="s">
        <v>154</v>
      </c>
      <c r="D50" s="2" t="s">
        <v>16</v>
      </c>
      <c r="E50" s="2" t="s">
        <v>17</v>
      </c>
      <c r="F50" s="2" t="s">
        <v>18</v>
      </c>
      <c r="G50" s="2" t="s">
        <v>155</v>
      </c>
      <c r="H50" s="2" t="s">
        <v>26</v>
      </c>
      <c r="I50" s="2" t="s">
        <v>156</v>
      </c>
      <c r="J50" s="10">
        <v>1</v>
      </c>
      <c r="K50" s="2" t="s">
        <v>18</v>
      </c>
      <c r="L50" s="2" t="s">
        <v>22</v>
      </c>
      <c r="M50" s="2" t="s">
        <v>23</v>
      </c>
      <c r="N50" s="5" t="str">
        <f t="shared" si="0"/>
        <v>RJ</v>
      </c>
    </row>
    <row r="51" spans="1:14" x14ac:dyDescent="0.25">
      <c r="A51" s="2" t="s">
        <v>13</v>
      </c>
      <c r="B51" s="2" t="s">
        <v>14</v>
      </c>
      <c r="C51" s="2" t="s">
        <v>157</v>
      </c>
      <c r="D51" s="2" t="s">
        <v>16</v>
      </c>
      <c r="E51" s="2" t="s">
        <v>17</v>
      </c>
      <c r="F51" s="2" t="s">
        <v>18</v>
      </c>
      <c r="G51" s="2" t="s">
        <v>155</v>
      </c>
      <c r="H51" s="2" t="s">
        <v>20</v>
      </c>
      <c r="I51" s="2" t="s">
        <v>158</v>
      </c>
      <c r="J51" s="10">
        <v>1</v>
      </c>
      <c r="K51" s="2" t="s">
        <v>18</v>
      </c>
      <c r="L51" s="2" t="s">
        <v>22</v>
      </c>
      <c r="M51" s="2" t="s">
        <v>23</v>
      </c>
      <c r="N51" s="5" t="str">
        <f t="shared" si="0"/>
        <v>RJ</v>
      </c>
    </row>
    <row r="52" spans="1:14" x14ac:dyDescent="0.25">
      <c r="A52" s="2" t="s">
        <v>13</v>
      </c>
      <c r="B52" s="2" t="s">
        <v>14</v>
      </c>
      <c r="C52" s="2" t="s">
        <v>159</v>
      </c>
      <c r="D52" s="2" t="s">
        <v>16</v>
      </c>
      <c r="E52" s="2" t="s">
        <v>17</v>
      </c>
      <c r="F52" s="2" t="s">
        <v>18</v>
      </c>
      <c r="G52" s="2" t="s">
        <v>155</v>
      </c>
      <c r="H52" s="2" t="s">
        <v>20</v>
      </c>
      <c r="I52" s="2" t="s">
        <v>160</v>
      </c>
      <c r="J52" s="10">
        <v>1</v>
      </c>
      <c r="K52" s="2" t="s">
        <v>18</v>
      </c>
      <c r="L52" s="2" t="s">
        <v>22</v>
      </c>
      <c r="M52" s="2" t="s">
        <v>23</v>
      </c>
      <c r="N52" s="5" t="str">
        <f t="shared" si="0"/>
        <v>RJ</v>
      </c>
    </row>
    <row r="53" spans="1:14" x14ac:dyDescent="0.25">
      <c r="A53" s="2" t="s">
        <v>13</v>
      </c>
      <c r="B53" s="2" t="s">
        <v>14</v>
      </c>
      <c r="C53" s="2" t="s">
        <v>161</v>
      </c>
      <c r="D53" s="2" t="s">
        <v>16</v>
      </c>
      <c r="E53" s="2" t="s">
        <v>17</v>
      </c>
      <c r="F53" s="2" t="s">
        <v>18</v>
      </c>
      <c r="G53" s="2" t="s">
        <v>155</v>
      </c>
      <c r="H53" s="2" t="s">
        <v>101</v>
      </c>
      <c r="I53" s="2" t="s">
        <v>162</v>
      </c>
      <c r="J53" s="10">
        <v>1</v>
      </c>
      <c r="K53" s="2" t="s">
        <v>18</v>
      </c>
      <c r="L53" s="2" t="s">
        <v>22</v>
      </c>
      <c r="M53" s="2" t="s">
        <v>23</v>
      </c>
      <c r="N53" s="5" t="str">
        <f t="shared" si="0"/>
        <v>RJ</v>
      </c>
    </row>
    <row r="54" spans="1:14" x14ac:dyDescent="0.25">
      <c r="A54" s="2" t="s">
        <v>13</v>
      </c>
      <c r="B54" s="2" t="s">
        <v>14</v>
      </c>
      <c r="C54" s="2" t="s">
        <v>163</v>
      </c>
      <c r="D54" s="2" t="s">
        <v>16</v>
      </c>
      <c r="E54" s="2" t="s">
        <v>17</v>
      </c>
      <c r="F54" s="2" t="s">
        <v>18</v>
      </c>
      <c r="G54" s="2" t="s">
        <v>164</v>
      </c>
      <c r="H54" s="2" t="s">
        <v>26</v>
      </c>
      <c r="I54" s="2" t="s">
        <v>165</v>
      </c>
      <c r="J54" s="10">
        <v>1</v>
      </c>
      <c r="K54" s="2" t="s">
        <v>18</v>
      </c>
      <c r="L54" s="2" t="s">
        <v>22</v>
      </c>
      <c r="M54" s="2" t="s">
        <v>23</v>
      </c>
      <c r="N54" s="5" t="str">
        <f t="shared" si="0"/>
        <v>RJ</v>
      </c>
    </row>
    <row r="55" spans="1:14" x14ac:dyDescent="0.25">
      <c r="A55" s="2" t="s">
        <v>13</v>
      </c>
      <c r="B55" s="2" t="s">
        <v>14</v>
      </c>
      <c r="C55" s="2" t="s">
        <v>166</v>
      </c>
      <c r="D55" s="2" t="s">
        <v>16</v>
      </c>
      <c r="E55" s="2" t="s">
        <v>17</v>
      </c>
      <c r="F55" s="2" t="s">
        <v>18</v>
      </c>
      <c r="G55" s="2" t="s">
        <v>167</v>
      </c>
      <c r="H55" s="2" t="s">
        <v>20</v>
      </c>
      <c r="I55" s="2" t="s">
        <v>168</v>
      </c>
      <c r="J55" s="10">
        <v>1</v>
      </c>
      <c r="K55" s="2" t="s">
        <v>18</v>
      </c>
      <c r="L55" s="2" t="s">
        <v>22</v>
      </c>
      <c r="M55" s="2" t="s">
        <v>23</v>
      </c>
      <c r="N55" s="5" t="str">
        <f t="shared" si="0"/>
        <v>RJ</v>
      </c>
    </row>
    <row r="56" spans="1:14" x14ac:dyDescent="0.25">
      <c r="A56" s="2" t="s">
        <v>13</v>
      </c>
      <c r="B56" s="2" t="s">
        <v>14</v>
      </c>
      <c r="C56" s="2" t="s">
        <v>169</v>
      </c>
      <c r="D56" s="2" t="s">
        <v>16</v>
      </c>
      <c r="E56" s="2" t="s">
        <v>17</v>
      </c>
      <c r="F56" s="2" t="s">
        <v>18</v>
      </c>
      <c r="G56" s="2" t="s">
        <v>170</v>
      </c>
      <c r="H56" s="2" t="s">
        <v>26</v>
      </c>
      <c r="I56" s="2" t="s">
        <v>171</v>
      </c>
      <c r="J56" s="10">
        <v>1</v>
      </c>
      <c r="K56" s="2" t="s">
        <v>18</v>
      </c>
      <c r="L56" s="2" t="s">
        <v>22</v>
      </c>
      <c r="M56" s="2" t="s">
        <v>23</v>
      </c>
      <c r="N56" s="5" t="str">
        <f t="shared" si="0"/>
        <v>RJ</v>
      </c>
    </row>
    <row r="57" spans="1:14" x14ac:dyDescent="0.25">
      <c r="A57" s="2" t="s">
        <v>13</v>
      </c>
      <c r="B57" s="2" t="s">
        <v>14</v>
      </c>
      <c r="C57" s="2" t="s">
        <v>172</v>
      </c>
      <c r="D57" s="2" t="s">
        <v>16</v>
      </c>
      <c r="E57" s="2" t="s">
        <v>17</v>
      </c>
      <c r="F57" s="2" t="s">
        <v>18</v>
      </c>
      <c r="G57" s="2" t="s">
        <v>173</v>
      </c>
      <c r="H57" s="2" t="s">
        <v>20</v>
      </c>
      <c r="I57" s="2" t="s">
        <v>174</v>
      </c>
      <c r="J57" s="10">
        <v>1</v>
      </c>
      <c r="K57" s="2" t="s">
        <v>18</v>
      </c>
      <c r="L57" s="2" t="s">
        <v>22</v>
      </c>
      <c r="M57" s="2" t="s">
        <v>23</v>
      </c>
      <c r="N57" s="5" t="str">
        <f t="shared" si="0"/>
        <v>RJ</v>
      </c>
    </row>
    <row r="58" spans="1:14" x14ac:dyDescent="0.25">
      <c r="A58" s="2" t="s">
        <v>13</v>
      </c>
      <c r="B58" s="2" t="s">
        <v>14</v>
      </c>
      <c r="C58" s="2" t="s">
        <v>175</v>
      </c>
      <c r="D58" s="2" t="s">
        <v>16</v>
      </c>
      <c r="E58" s="2" t="s">
        <v>17</v>
      </c>
      <c r="F58" s="2" t="s">
        <v>18</v>
      </c>
      <c r="G58" s="2" t="s">
        <v>176</v>
      </c>
      <c r="H58" s="2" t="s">
        <v>20</v>
      </c>
      <c r="I58" s="2" t="s">
        <v>177</v>
      </c>
      <c r="J58" s="10">
        <v>1</v>
      </c>
      <c r="K58" s="2" t="s">
        <v>18</v>
      </c>
      <c r="L58" s="2" t="s">
        <v>22</v>
      </c>
      <c r="M58" s="2" t="s">
        <v>23</v>
      </c>
      <c r="N58" s="5" t="str">
        <f t="shared" si="0"/>
        <v>RJ</v>
      </c>
    </row>
    <row r="59" spans="1:14" x14ac:dyDescent="0.25">
      <c r="A59" s="2" t="s">
        <v>13</v>
      </c>
      <c r="B59" s="2" t="s">
        <v>14</v>
      </c>
      <c r="C59" s="2" t="s">
        <v>178</v>
      </c>
      <c r="D59" s="2" t="s">
        <v>16</v>
      </c>
      <c r="E59" s="2" t="s">
        <v>17</v>
      </c>
      <c r="F59" s="2" t="s">
        <v>18</v>
      </c>
      <c r="G59" s="2" t="s">
        <v>179</v>
      </c>
      <c r="H59" s="2" t="s">
        <v>26</v>
      </c>
      <c r="I59" s="2" t="s">
        <v>180</v>
      </c>
      <c r="J59" s="10">
        <v>1</v>
      </c>
      <c r="K59" s="2" t="s">
        <v>18</v>
      </c>
      <c r="L59" s="2" t="s">
        <v>22</v>
      </c>
      <c r="M59" s="2" t="s">
        <v>23</v>
      </c>
      <c r="N59" s="5" t="str">
        <f t="shared" si="0"/>
        <v>RJ</v>
      </c>
    </row>
    <row r="60" spans="1:14" x14ac:dyDescent="0.25">
      <c r="A60" s="2" t="s">
        <v>13</v>
      </c>
      <c r="B60" s="2" t="s">
        <v>14</v>
      </c>
      <c r="C60" s="2" t="s">
        <v>181</v>
      </c>
      <c r="D60" s="2" t="s">
        <v>16</v>
      </c>
      <c r="E60" s="2" t="s">
        <v>17</v>
      </c>
      <c r="F60" s="2" t="s">
        <v>18</v>
      </c>
      <c r="G60" s="2" t="s">
        <v>182</v>
      </c>
      <c r="H60" s="2" t="s">
        <v>20</v>
      </c>
      <c r="I60" s="2" t="s">
        <v>183</v>
      </c>
      <c r="J60" s="10">
        <v>1</v>
      </c>
      <c r="K60" s="2" t="s">
        <v>18</v>
      </c>
      <c r="L60" s="2" t="s">
        <v>22</v>
      </c>
      <c r="M60" s="2" t="s">
        <v>23</v>
      </c>
      <c r="N60" s="5" t="str">
        <f t="shared" si="0"/>
        <v>RJ</v>
      </c>
    </row>
    <row r="61" spans="1:14" x14ac:dyDescent="0.25">
      <c r="A61" s="2" t="s">
        <v>13</v>
      </c>
      <c r="B61" s="2" t="s">
        <v>14</v>
      </c>
      <c r="C61" s="2" t="s">
        <v>184</v>
      </c>
      <c r="D61" s="2" t="s">
        <v>16</v>
      </c>
      <c r="E61" s="2" t="s">
        <v>17</v>
      </c>
      <c r="F61" s="2" t="s">
        <v>18</v>
      </c>
      <c r="G61" s="2" t="s">
        <v>185</v>
      </c>
      <c r="H61" s="2" t="s">
        <v>20</v>
      </c>
      <c r="I61" s="2" t="s">
        <v>186</v>
      </c>
      <c r="J61" s="10">
        <v>1</v>
      </c>
      <c r="K61" s="2" t="s">
        <v>18</v>
      </c>
      <c r="L61" s="2" t="s">
        <v>22</v>
      </c>
      <c r="M61" s="2" t="s">
        <v>23</v>
      </c>
      <c r="N61" s="5" t="str">
        <f t="shared" si="0"/>
        <v>RJ</v>
      </c>
    </row>
    <row r="62" spans="1:14" x14ac:dyDescent="0.25">
      <c r="A62" s="2" t="s">
        <v>13</v>
      </c>
      <c r="B62" s="2" t="s">
        <v>14</v>
      </c>
      <c r="C62" s="2" t="s">
        <v>187</v>
      </c>
      <c r="D62" s="2" t="s">
        <v>16</v>
      </c>
      <c r="E62" s="2" t="s">
        <v>17</v>
      </c>
      <c r="F62" s="2" t="s">
        <v>18</v>
      </c>
      <c r="G62" s="2" t="s">
        <v>188</v>
      </c>
      <c r="H62" s="2" t="s">
        <v>20</v>
      </c>
      <c r="I62" s="2" t="s">
        <v>189</v>
      </c>
      <c r="J62" s="10">
        <v>1</v>
      </c>
      <c r="K62" s="2" t="s">
        <v>18</v>
      </c>
      <c r="L62" s="2" t="s">
        <v>22</v>
      </c>
      <c r="M62" s="2" t="s">
        <v>23</v>
      </c>
      <c r="N62" s="5" t="str">
        <f t="shared" si="0"/>
        <v>RJ</v>
      </c>
    </row>
    <row r="63" spans="1:14" x14ac:dyDescent="0.25">
      <c r="A63" s="2" t="s">
        <v>13</v>
      </c>
      <c r="B63" s="2" t="s">
        <v>14</v>
      </c>
      <c r="C63" s="2" t="s">
        <v>190</v>
      </c>
      <c r="D63" s="2" t="s">
        <v>16</v>
      </c>
      <c r="E63" s="2" t="s">
        <v>17</v>
      </c>
      <c r="F63" s="2" t="s">
        <v>18</v>
      </c>
      <c r="G63" s="2" t="s">
        <v>191</v>
      </c>
      <c r="H63" s="2" t="s">
        <v>26</v>
      </c>
      <c r="I63" s="2" t="s">
        <v>192</v>
      </c>
      <c r="J63" s="10">
        <v>1</v>
      </c>
      <c r="K63" s="2" t="s">
        <v>18</v>
      </c>
      <c r="L63" s="2" t="s">
        <v>22</v>
      </c>
      <c r="M63" s="2" t="s">
        <v>23</v>
      </c>
      <c r="N63" s="5" t="str">
        <f t="shared" si="0"/>
        <v>RJ</v>
      </c>
    </row>
    <row r="64" spans="1:14" x14ac:dyDescent="0.25">
      <c r="A64" s="2" t="s">
        <v>13</v>
      </c>
      <c r="B64" s="2" t="s">
        <v>14</v>
      </c>
      <c r="C64" s="2" t="s">
        <v>193</v>
      </c>
      <c r="D64" s="2" t="s">
        <v>16</v>
      </c>
      <c r="E64" s="2" t="s">
        <v>17</v>
      </c>
      <c r="F64" s="2" t="s">
        <v>18</v>
      </c>
      <c r="G64" s="2" t="s">
        <v>194</v>
      </c>
      <c r="H64" s="2" t="s">
        <v>26</v>
      </c>
      <c r="I64" s="2" t="s">
        <v>195</v>
      </c>
      <c r="J64" s="10">
        <v>1</v>
      </c>
      <c r="K64" s="2" t="s">
        <v>18</v>
      </c>
      <c r="L64" s="2" t="s">
        <v>22</v>
      </c>
      <c r="M64" s="2" t="s">
        <v>23</v>
      </c>
      <c r="N64" s="5" t="str">
        <f t="shared" si="0"/>
        <v>RJ</v>
      </c>
    </row>
    <row r="65" spans="1:14" x14ac:dyDescent="0.25">
      <c r="A65" s="2" t="s">
        <v>13</v>
      </c>
      <c r="B65" s="2" t="s">
        <v>14</v>
      </c>
      <c r="C65" s="2" t="s">
        <v>196</v>
      </c>
      <c r="D65" s="2" t="s">
        <v>16</v>
      </c>
      <c r="E65" s="2" t="s">
        <v>17</v>
      </c>
      <c r="F65" s="2" t="s">
        <v>18</v>
      </c>
      <c r="G65" s="2" t="s">
        <v>197</v>
      </c>
      <c r="H65" s="2" t="s">
        <v>20</v>
      </c>
      <c r="I65" s="2" t="s">
        <v>198</v>
      </c>
      <c r="J65" s="10">
        <v>1</v>
      </c>
      <c r="K65" s="2" t="s">
        <v>18</v>
      </c>
      <c r="L65" s="2" t="s">
        <v>22</v>
      </c>
      <c r="M65" s="2" t="s">
        <v>23</v>
      </c>
      <c r="N65" s="5" t="str">
        <f t="shared" si="0"/>
        <v>RJ</v>
      </c>
    </row>
    <row r="66" spans="1:14" x14ac:dyDescent="0.25">
      <c r="A66" s="2" t="s">
        <v>13</v>
      </c>
      <c r="B66" s="2" t="s">
        <v>14</v>
      </c>
      <c r="C66" s="2" t="s">
        <v>199</v>
      </c>
      <c r="D66" s="2" t="s">
        <v>16</v>
      </c>
      <c r="E66" s="2" t="s">
        <v>17</v>
      </c>
      <c r="F66" s="2" t="s">
        <v>18</v>
      </c>
      <c r="G66" s="2" t="s">
        <v>200</v>
      </c>
      <c r="H66" s="2" t="s">
        <v>26</v>
      </c>
      <c r="I66" s="2" t="s">
        <v>201</v>
      </c>
      <c r="J66" s="10">
        <v>1</v>
      </c>
      <c r="K66" s="2" t="s">
        <v>18</v>
      </c>
      <c r="L66" s="2" t="s">
        <v>22</v>
      </c>
      <c r="M66" s="2" t="s">
        <v>23</v>
      </c>
      <c r="N66" s="5" t="str">
        <f t="shared" si="0"/>
        <v>RJ</v>
      </c>
    </row>
    <row r="67" spans="1:14" x14ac:dyDescent="0.25">
      <c r="A67" s="2" t="s">
        <v>13</v>
      </c>
      <c r="B67" s="2" t="s">
        <v>14</v>
      </c>
      <c r="C67" s="2" t="s">
        <v>202</v>
      </c>
      <c r="D67" s="2" t="s">
        <v>16</v>
      </c>
      <c r="E67" s="2" t="s">
        <v>17</v>
      </c>
      <c r="F67" s="2" t="s">
        <v>18</v>
      </c>
      <c r="G67" s="2" t="s">
        <v>203</v>
      </c>
      <c r="H67" s="2" t="s">
        <v>26</v>
      </c>
      <c r="I67" s="2" t="s">
        <v>204</v>
      </c>
      <c r="J67" s="10">
        <v>1</v>
      </c>
      <c r="K67" s="2" t="s">
        <v>18</v>
      </c>
      <c r="L67" s="2" t="s">
        <v>22</v>
      </c>
      <c r="M67" s="2" t="s">
        <v>23</v>
      </c>
      <c r="N67" s="5" t="str">
        <f t="shared" ref="N67:N130" si="1">IF(ISNUMBER(SEARCH("SP",B67)),"SP","RJ")</f>
        <v>RJ</v>
      </c>
    </row>
    <row r="68" spans="1:14" x14ac:dyDescent="0.25">
      <c r="A68" s="2" t="s">
        <v>13</v>
      </c>
      <c r="B68" s="2" t="s">
        <v>14</v>
      </c>
      <c r="C68" s="2" t="s">
        <v>205</v>
      </c>
      <c r="D68" s="2" t="s">
        <v>16</v>
      </c>
      <c r="E68" s="2" t="s">
        <v>17</v>
      </c>
      <c r="F68" s="2" t="s">
        <v>18</v>
      </c>
      <c r="G68" s="2" t="s">
        <v>203</v>
      </c>
      <c r="H68" s="2" t="s">
        <v>26</v>
      </c>
      <c r="I68" s="2" t="s">
        <v>206</v>
      </c>
      <c r="J68" s="10">
        <v>1</v>
      </c>
      <c r="K68" s="2" t="s">
        <v>18</v>
      </c>
      <c r="L68" s="2" t="s">
        <v>22</v>
      </c>
      <c r="M68" s="2" t="s">
        <v>23</v>
      </c>
      <c r="N68" s="5" t="str">
        <f t="shared" si="1"/>
        <v>RJ</v>
      </c>
    </row>
    <row r="69" spans="1:14" x14ac:dyDescent="0.25">
      <c r="A69" s="2" t="s">
        <v>13</v>
      </c>
      <c r="B69" s="2" t="s">
        <v>14</v>
      </c>
      <c r="C69" s="2" t="s">
        <v>207</v>
      </c>
      <c r="D69" s="2" t="s">
        <v>16</v>
      </c>
      <c r="E69" s="2" t="s">
        <v>17</v>
      </c>
      <c r="F69" s="2" t="s">
        <v>18</v>
      </c>
      <c r="G69" s="2" t="s">
        <v>203</v>
      </c>
      <c r="H69" s="2" t="s">
        <v>26</v>
      </c>
      <c r="I69" s="2" t="s">
        <v>208</v>
      </c>
      <c r="J69" s="10">
        <v>1</v>
      </c>
      <c r="K69" s="2" t="s">
        <v>18</v>
      </c>
      <c r="L69" s="2" t="s">
        <v>22</v>
      </c>
      <c r="M69" s="2" t="s">
        <v>23</v>
      </c>
      <c r="N69" s="5" t="str">
        <f t="shared" si="1"/>
        <v>RJ</v>
      </c>
    </row>
    <row r="70" spans="1:14" x14ac:dyDescent="0.25">
      <c r="A70" s="2" t="s">
        <v>13</v>
      </c>
      <c r="B70" s="2" t="s">
        <v>14</v>
      </c>
      <c r="C70" s="2" t="s">
        <v>209</v>
      </c>
      <c r="D70" s="2" t="s">
        <v>16</v>
      </c>
      <c r="E70" s="2" t="s">
        <v>17</v>
      </c>
      <c r="F70" s="2" t="s">
        <v>18</v>
      </c>
      <c r="G70" s="2" t="s">
        <v>210</v>
      </c>
      <c r="H70" s="2" t="s">
        <v>211</v>
      </c>
      <c r="I70" s="2" t="s">
        <v>212</v>
      </c>
      <c r="J70" s="10">
        <v>1</v>
      </c>
      <c r="K70" s="2" t="s">
        <v>18</v>
      </c>
      <c r="L70" s="2" t="s">
        <v>22</v>
      </c>
      <c r="M70" s="2" t="s">
        <v>23</v>
      </c>
      <c r="N70" s="5" t="str">
        <f t="shared" si="1"/>
        <v>RJ</v>
      </c>
    </row>
    <row r="71" spans="1:14" x14ac:dyDescent="0.25">
      <c r="A71" s="2" t="s">
        <v>13</v>
      </c>
      <c r="B71" s="2" t="s">
        <v>14</v>
      </c>
      <c r="C71" s="2" t="s">
        <v>213</v>
      </c>
      <c r="D71" s="2" t="s">
        <v>16</v>
      </c>
      <c r="E71" s="2" t="s">
        <v>17</v>
      </c>
      <c r="F71" s="2" t="s">
        <v>18</v>
      </c>
      <c r="G71" s="2" t="s">
        <v>210</v>
      </c>
      <c r="H71" s="2" t="s">
        <v>26</v>
      </c>
      <c r="I71" s="2" t="s">
        <v>214</v>
      </c>
      <c r="J71" s="10">
        <v>1</v>
      </c>
      <c r="K71" s="2" t="s">
        <v>18</v>
      </c>
      <c r="L71" s="2" t="s">
        <v>22</v>
      </c>
      <c r="M71" s="2" t="s">
        <v>23</v>
      </c>
      <c r="N71" s="5" t="str">
        <f t="shared" si="1"/>
        <v>RJ</v>
      </c>
    </row>
    <row r="72" spans="1:14" x14ac:dyDescent="0.25">
      <c r="A72" s="2" t="s">
        <v>13</v>
      </c>
      <c r="B72" s="2" t="s">
        <v>14</v>
      </c>
      <c r="C72" s="2" t="s">
        <v>215</v>
      </c>
      <c r="D72" s="2" t="s">
        <v>16</v>
      </c>
      <c r="E72" s="2" t="s">
        <v>17</v>
      </c>
      <c r="F72" s="2" t="s">
        <v>18</v>
      </c>
      <c r="G72" s="2" t="s">
        <v>210</v>
      </c>
      <c r="H72" s="2" t="s">
        <v>26</v>
      </c>
      <c r="I72" s="2" t="s">
        <v>216</v>
      </c>
      <c r="J72" s="10">
        <v>1</v>
      </c>
      <c r="K72" s="2" t="s">
        <v>18</v>
      </c>
      <c r="L72" s="2" t="s">
        <v>22</v>
      </c>
      <c r="M72" s="2" t="s">
        <v>23</v>
      </c>
      <c r="N72" s="5" t="str">
        <f t="shared" si="1"/>
        <v>RJ</v>
      </c>
    </row>
    <row r="73" spans="1:14" x14ac:dyDescent="0.25">
      <c r="A73" s="2" t="s">
        <v>13</v>
      </c>
      <c r="B73" s="2" t="s">
        <v>14</v>
      </c>
      <c r="C73" s="2" t="s">
        <v>217</v>
      </c>
      <c r="D73" s="2" t="s">
        <v>16</v>
      </c>
      <c r="E73" s="2" t="s">
        <v>17</v>
      </c>
      <c r="F73" s="2" t="s">
        <v>18</v>
      </c>
      <c r="G73" s="2" t="s">
        <v>218</v>
      </c>
      <c r="H73" s="2" t="s">
        <v>20</v>
      </c>
      <c r="I73" s="2" t="s">
        <v>219</v>
      </c>
      <c r="J73" s="10">
        <v>1</v>
      </c>
      <c r="K73" s="2" t="s">
        <v>18</v>
      </c>
      <c r="L73" s="2" t="s">
        <v>22</v>
      </c>
      <c r="M73" s="2" t="s">
        <v>23</v>
      </c>
      <c r="N73" s="5" t="str">
        <f t="shared" si="1"/>
        <v>RJ</v>
      </c>
    </row>
    <row r="74" spans="1:14" x14ac:dyDescent="0.25">
      <c r="A74" s="2" t="s">
        <v>13</v>
      </c>
      <c r="B74" s="2" t="s">
        <v>14</v>
      </c>
      <c r="C74" s="2" t="s">
        <v>220</v>
      </c>
      <c r="D74" s="2" t="s">
        <v>16</v>
      </c>
      <c r="E74" s="2" t="s">
        <v>17</v>
      </c>
      <c r="F74" s="2" t="s">
        <v>18</v>
      </c>
      <c r="G74" s="2" t="s">
        <v>221</v>
      </c>
      <c r="H74" s="2" t="s">
        <v>26</v>
      </c>
      <c r="I74" s="2" t="s">
        <v>222</v>
      </c>
      <c r="J74" s="10">
        <v>1</v>
      </c>
      <c r="K74" s="2" t="s">
        <v>18</v>
      </c>
      <c r="L74" s="2" t="s">
        <v>22</v>
      </c>
      <c r="M74" s="2" t="s">
        <v>23</v>
      </c>
      <c r="N74" s="5" t="str">
        <f t="shared" si="1"/>
        <v>RJ</v>
      </c>
    </row>
    <row r="75" spans="1:14" x14ac:dyDescent="0.25">
      <c r="A75" s="2" t="s">
        <v>13</v>
      </c>
      <c r="B75" s="2" t="s">
        <v>14</v>
      </c>
      <c r="C75" s="2" t="s">
        <v>223</v>
      </c>
      <c r="D75" s="2" t="s">
        <v>16</v>
      </c>
      <c r="E75" s="2" t="s">
        <v>17</v>
      </c>
      <c r="F75" s="2" t="s">
        <v>18</v>
      </c>
      <c r="G75" s="2" t="s">
        <v>221</v>
      </c>
      <c r="H75" s="2" t="s">
        <v>20</v>
      </c>
      <c r="I75" s="2" t="s">
        <v>224</v>
      </c>
      <c r="J75" s="10">
        <v>1</v>
      </c>
      <c r="K75" s="2" t="s">
        <v>18</v>
      </c>
      <c r="L75" s="2" t="s">
        <v>22</v>
      </c>
      <c r="M75" s="2" t="s">
        <v>23</v>
      </c>
      <c r="N75" s="5" t="str">
        <f t="shared" si="1"/>
        <v>RJ</v>
      </c>
    </row>
    <row r="76" spans="1:14" x14ac:dyDescent="0.25">
      <c r="A76" s="3" t="s">
        <v>13</v>
      </c>
      <c r="B76" s="3" t="s">
        <v>14</v>
      </c>
      <c r="C76" s="3" t="s">
        <v>280</v>
      </c>
      <c r="D76" s="3" t="s">
        <v>16</v>
      </c>
      <c r="E76" s="3" t="s">
        <v>281</v>
      </c>
      <c r="F76" s="3" t="s">
        <v>18</v>
      </c>
      <c r="G76" s="3" t="s">
        <v>19</v>
      </c>
      <c r="H76" s="3" t="s">
        <v>20</v>
      </c>
      <c r="I76" s="3" t="s">
        <v>282</v>
      </c>
      <c r="J76" s="10">
        <v>1</v>
      </c>
      <c r="K76" s="3" t="s">
        <v>18</v>
      </c>
      <c r="L76" s="3" t="s">
        <v>22</v>
      </c>
      <c r="M76" s="3" t="s">
        <v>23</v>
      </c>
      <c r="N76" s="5" t="str">
        <f t="shared" si="1"/>
        <v>RJ</v>
      </c>
    </row>
    <row r="77" spans="1:14" x14ac:dyDescent="0.25">
      <c r="A77" s="3" t="s">
        <v>13</v>
      </c>
      <c r="B77" s="3" t="s">
        <v>14</v>
      </c>
      <c r="C77" s="3" t="s">
        <v>283</v>
      </c>
      <c r="D77" s="3" t="s">
        <v>16</v>
      </c>
      <c r="E77" s="3" t="s">
        <v>281</v>
      </c>
      <c r="F77" s="3" t="s">
        <v>18</v>
      </c>
      <c r="G77" s="3" t="s">
        <v>284</v>
      </c>
      <c r="H77" s="3" t="s">
        <v>20</v>
      </c>
      <c r="I77" s="3" t="s">
        <v>285</v>
      </c>
      <c r="J77" s="10">
        <v>1</v>
      </c>
      <c r="K77" s="3" t="s">
        <v>18</v>
      </c>
      <c r="L77" s="3" t="s">
        <v>22</v>
      </c>
      <c r="M77" s="3" t="s">
        <v>23</v>
      </c>
      <c r="N77" s="5" t="str">
        <f t="shared" si="1"/>
        <v>RJ</v>
      </c>
    </row>
    <row r="78" spans="1:14" x14ac:dyDescent="0.25">
      <c r="A78" s="3" t="s">
        <v>13</v>
      </c>
      <c r="B78" s="3" t="s">
        <v>14</v>
      </c>
      <c r="C78" s="3" t="s">
        <v>286</v>
      </c>
      <c r="D78" s="3" t="s">
        <v>16</v>
      </c>
      <c r="E78" s="3" t="s">
        <v>281</v>
      </c>
      <c r="F78" s="3" t="s">
        <v>18</v>
      </c>
      <c r="G78" s="3" t="s">
        <v>287</v>
      </c>
      <c r="H78" s="3" t="s">
        <v>30</v>
      </c>
      <c r="I78" s="3" t="s">
        <v>288</v>
      </c>
      <c r="J78" s="10">
        <v>1</v>
      </c>
      <c r="K78" s="3" t="s">
        <v>18</v>
      </c>
      <c r="L78" s="3" t="s">
        <v>22</v>
      </c>
      <c r="M78" s="3" t="s">
        <v>23</v>
      </c>
      <c r="N78" s="5" t="str">
        <f t="shared" si="1"/>
        <v>RJ</v>
      </c>
    </row>
    <row r="79" spans="1:14" x14ac:dyDescent="0.25">
      <c r="A79" s="3" t="s">
        <v>13</v>
      </c>
      <c r="B79" s="3" t="s">
        <v>14</v>
      </c>
      <c r="C79" s="3" t="s">
        <v>289</v>
      </c>
      <c r="D79" s="3" t="s">
        <v>16</v>
      </c>
      <c r="E79" s="3" t="s">
        <v>281</v>
      </c>
      <c r="F79" s="3" t="s">
        <v>18</v>
      </c>
      <c r="G79" s="3" t="s">
        <v>287</v>
      </c>
      <c r="H79" s="3" t="s">
        <v>26</v>
      </c>
      <c r="I79" s="3" t="s">
        <v>290</v>
      </c>
      <c r="J79" s="10">
        <v>1</v>
      </c>
      <c r="K79" s="3" t="s">
        <v>18</v>
      </c>
      <c r="L79" s="3" t="s">
        <v>22</v>
      </c>
      <c r="M79" s="3" t="s">
        <v>23</v>
      </c>
      <c r="N79" s="5" t="str">
        <f t="shared" si="1"/>
        <v>RJ</v>
      </c>
    </row>
    <row r="80" spans="1:14" x14ac:dyDescent="0.25">
      <c r="A80" s="3" t="s">
        <v>13</v>
      </c>
      <c r="B80" s="3" t="s">
        <v>14</v>
      </c>
      <c r="C80" s="3" t="s">
        <v>291</v>
      </c>
      <c r="D80" s="3" t="s">
        <v>16</v>
      </c>
      <c r="E80" s="3" t="s">
        <v>281</v>
      </c>
      <c r="F80" s="3" t="s">
        <v>18</v>
      </c>
      <c r="G80" s="3" t="s">
        <v>287</v>
      </c>
      <c r="H80" s="3" t="s">
        <v>26</v>
      </c>
      <c r="I80" s="3" t="s">
        <v>292</v>
      </c>
      <c r="J80" s="10">
        <v>1</v>
      </c>
      <c r="K80" s="3" t="s">
        <v>18</v>
      </c>
      <c r="L80" s="3" t="s">
        <v>22</v>
      </c>
      <c r="M80" s="3" t="s">
        <v>23</v>
      </c>
      <c r="N80" s="5" t="str">
        <f t="shared" si="1"/>
        <v>RJ</v>
      </c>
    </row>
    <row r="81" spans="1:14" x14ac:dyDescent="0.25">
      <c r="A81" s="3" t="s">
        <v>13</v>
      </c>
      <c r="B81" s="3" t="s">
        <v>14</v>
      </c>
      <c r="C81" s="3" t="s">
        <v>293</v>
      </c>
      <c r="D81" s="3" t="s">
        <v>16</v>
      </c>
      <c r="E81" s="3" t="s">
        <v>281</v>
      </c>
      <c r="F81" s="3" t="s">
        <v>18</v>
      </c>
      <c r="G81" s="3" t="s">
        <v>39</v>
      </c>
      <c r="H81" s="3" t="s">
        <v>26</v>
      </c>
      <c r="I81" s="3" t="s">
        <v>294</v>
      </c>
      <c r="J81" s="10">
        <v>1</v>
      </c>
      <c r="K81" s="3" t="s">
        <v>18</v>
      </c>
      <c r="L81" s="3" t="s">
        <v>22</v>
      </c>
      <c r="M81" s="3" t="s">
        <v>23</v>
      </c>
      <c r="N81" s="5" t="str">
        <f t="shared" si="1"/>
        <v>RJ</v>
      </c>
    </row>
    <row r="82" spans="1:14" x14ac:dyDescent="0.25">
      <c r="A82" s="3" t="s">
        <v>13</v>
      </c>
      <c r="B82" s="3" t="s">
        <v>14</v>
      </c>
      <c r="C82" s="3" t="s">
        <v>295</v>
      </c>
      <c r="D82" s="3" t="s">
        <v>16</v>
      </c>
      <c r="E82" s="3" t="s">
        <v>281</v>
      </c>
      <c r="F82" s="3" t="s">
        <v>18</v>
      </c>
      <c r="G82" s="3" t="s">
        <v>39</v>
      </c>
      <c r="H82" s="3" t="s">
        <v>26</v>
      </c>
      <c r="I82" s="3" t="s">
        <v>296</v>
      </c>
      <c r="J82" s="10">
        <v>1</v>
      </c>
      <c r="K82" s="3" t="s">
        <v>18</v>
      </c>
      <c r="L82" s="3" t="s">
        <v>22</v>
      </c>
      <c r="M82" s="3" t="s">
        <v>23</v>
      </c>
      <c r="N82" s="5" t="str">
        <f t="shared" si="1"/>
        <v>RJ</v>
      </c>
    </row>
    <row r="83" spans="1:14" x14ac:dyDescent="0.25">
      <c r="A83" s="3" t="s">
        <v>13</v>
      </c>
      <c r="B83" s="3" t="s">
        <v>14</v>
      </c>
      <c r="C83" s="3" t="s">
        <v>297</v>
      </c>
      <c r="D83" s="3" t="s">
        <v>16</v>
      </c>
      <c r="E83" s="3" t="s">
        <v>281</v>
      </c>
      <c r="F83" s="3" t="s">
        <v>18</v>
      </c>
      <c r="G83" s="3" t="s">
        <v>51</v>
      </c>
      <c r="H83" s="3" t="s">
        <v>20</v>
      </c>
      <c r="I83" s="3" t="s">
        <v>298</v>
      </c>
      <c r="J83" s="10">
        <v>1</v>
      </c>
      <c r="K83" s="3" t="s">
        <v>18</v>
      </c>
      <c r="L83" s="3" t="s">
        <v>22</v>
      </c>
      <c r="M83" s="3" t="s">
        <v>23</v>
      </c>
      <c r="N83" s="5" t="str">
        <f t="shared" si="1"/>
        <v>RJ</v>
      </c>
    </row>
    <row r="84" spans="1:14" x14ac:dyDescent="0.25">
      <c r="A84" s="3" t="s">
        <v>13</v>
      </c>
      <c r="B84" s="3" t="s">
        <v>14</v>
      </c>
      <c r="C84" s="3" t="s">
        <v>299</v>
      </c>
      <c r="D84" s="3" t="s">
        <v>16</v>
      </c>
      <c r="E84" s="3" t="s">
        <v>281</v>
      </c>
      <c r="F84" s="3" t="s">
        <v>18</v>
      </c>
      <c r="G84" s="3" t="s">
        <v>51</v>
      </c>
      <c r="H84" s="3" t="s">
        <v>20</v>
      </c>
      <c r="I84" s="3" t="s">
        <v>300</v>
      </c>
      <c r="J84" s="10">
        <v>1</v>
      </c>
      <c r="K84" s="3" t="s">
        <v>18</v>
      </c>
      <c r="L84" s="3" t="s">
        <v>22</v>
      </c>
      <c r="M84" s="3" t="s">
        <v>23</v>
      </c>
      <c r="N84" s="5" t="str">
        <f t="shared" si="1"/>
        <v>RJ</v>
      </c>
    </row>
    <row r="85" spans="1:14" x14ac:dyDescent="0.25">
      <c r="A85" s="3" t="s">
        <v>13</v>
      </c>
      <c r="B85" s="3" t="s">
        <v>14</v>
      </c>
      <c r="C85" s="3" t="s">
        <v>301</v>
      </c>
      <c r="D85" s="3" t="s">
        <v>16</v>
      </c>
      <c r="E85" s="3" t="s">
        <v>281</v>
      </c>
      <c r="F85" s="3" t="s">
        <v>18</v>
      </c>
      <c r="G85" s="3" t="s">
        <v>302</v>
      </c>
      <c r="H85" s="3" t="s">
        <v>26</v>
      </c>
      <c r="I85" s="3" t="s">
        <v>303</v>
      </c>
      <c r="J85" s="10">
        <v>1</v>
      </c>
      <c r="K85" s="3" t="s">
        <v>18</v>
      </c>
      <c r="L85" s="3" t="s">
        <v>22</v>
      </c>
      <c r="M85" s="3" t="s">
        <v>23</v>
      </c>
      <c r="N85" s="5" t="str">
        <f t="shared" si="1"/>
        <v>RJ</v>
      </c>
    </row>
    <row r="86" spans="1:14" x14ac:dyDescent="0.25">
      <c r="A86" s="3" t="s">
        <v>13</v>
      </c>
      <c r="B86" s="3" t="s">
        <v>14</v>
      </c>
      <c r="C86" s="3" t="s">
        <v>304</v>
      </c>
      <c r="D86" s="3" t="s">
        <v>16</v>
      </c>
      <c r="E86" s="3" t="s">
        <v>281</v>
      </c>
      <c r="F86" s="3" t="s">
        <v>18</v>
      </c>
      <c r="G86" s="3" t="s">
        <v>62</v>
      </c>
      <c r="H86" s="3" t="s">
        <v>26</v>
      </c>
      <c r="I86" s="3" t="s">
        <v>305</v>
      </c>
      <c r="J86" s="10">
        <v>1</v>
      </c>
      <c r="K86" s="3" t="s">
        <v>18</v>
      </c>
      <c r="L86" s="3" t="s">
        <v>22</v>
      </c>
      <c r="M86" s="3" t="s">
        <v>23</v>
      </c>
      <c r="N86" s="5" t="str">
        <f t="shared" si="1"/>
        <v>RJ</v>
      </c>
    </row>
    <row r="87" spans="1:14" x14ac:dyDescent="0.25">
      <c r="A87" s="3" t="s">
        <v>13</v>
      </c>
      <c r="B87" s="3" t="s">
        <v>14</v>
      </c>
      <c r="C87" s="3" t="s">
        <v>306</v>
      </c>
      <c r="D87" s="3" t="s">
        <v>16</v>
      </c>
      <c r="E87" s="3" t="s">
        <v>281</v>
      </c>
      <c r="F87" s="3" t="s">
        <v>18</v>
      </c>
      <c r="G87" s="3" t="s">
        <v>62</v>
      </c>
      <c r="H87" s="3" t="s">
        <v>26</v>
      </c>
      <c r="I87" s="3" t="s">
        <v>307</v>
      </c>
      <c r="J87" s="10">
        <v>1</v>
      </c>
      <c r="K87" s="3" t="s">
        <v>18</v>
      </c>
      <c r="L87" s="3" t="s">
        <v>22</v>
      </c>
      <c r="M87" s="3" t="s">
        <v>23</v>
      </c>
      <c r="N87" s="5" t="str">
        <f t="shared" si="1"/>
        <v>RJ</v>
      </c>
    </row>
    <row r="88" spans="1:14" x14ac:dyDescent="0.25">
      <c r="A88" s="3" t="s">
        <v>13</v>
      </c>
      <c r="B88" s="3" t="s">
        <v>14</v>
      </c>
      <c r="C88" s="3" t="s">
        <v>308</v>
      </c>
      <c r="D88" s="3" t="s">
        <v>16</v>
      </c>
      <c r="E88" s="3" t="s">
        <v>281</v>
      </c>
      <c r="F88" s="3" t="s">
        <v>18</v>
      </c>
      <c r="G88" s="3" t="s">
        <v>65</v>
      </c>
      <c r="H88" s="3" t="s">
        <v>26</v>
      </c>
      <c r="I88" s="3" t="s">
        <v>309</v>
      </c>
      <c r="J88" s="10">
        <v>1</v>
      </c>
      <c r="K88" s="3" t="s">
        <v>18</v>
      </c>
      <c r="L88" s="3" t="s">
        <v>22</v>
      </c>
      <c r="M88" s="3" t="s">
        <v>23</v>
      </c>
      <c r="N88" s="5" t="str">
        <f t="shared" si="1"/>
        <v>RJ</v>
      </c>
    </row>
    <row r="89" spans="1:14" x14ac:dyDescent="0.25">
      <c r="A89" s="3" t="s">
        <v>13</v>
      </c>
      <c r="B89" s="3" t="s">
        <v>14</v>
      </c>
      <c r="C89" s="3" t="s">
        <v>310</v>
      </c>
      <c r="D89" s="3" t="s">
        <v>16</v>
      </c>
      <c r="E89" s="3" t="s">
        <v>281</v>
      </c>
      <c r="F89" s="3" t="s">
        <v>18</v>
      </c>
      <c r="G89" s="3" t="s">
        <v>236</v>
      </c>
      <c r="H89" s="3" t="s">
        <v>30</v>
      </c>
      <c r="I89" s="3" t="s">
        <v>311</v>
      </c>
      <c r="J89" s="10">
        <v>1</v>
      </c>
      <c r="K89" s="3" t="s">
        <v>18</v>
      </c>
      <c r="L89" s="3" t="s">
        <v>22</v>
      </c>
      <c r="M89" s="3" t="s">
        <v>23</v>
      </c>
      <c r="N89" s="5" t="str">
        <f t="shared" si="1"/>
        <v>RJ</v>
      </c>
    </row>
    <row r="90" spans="1:14" x14ac:dyDescent="0.25">
      <c r="A90" s="3" t="s">
        <v>13</v>
      </c>
      <c r="B90" s="3" t="s">
        <v>14</v>
      </c>
      <c r="C90" s="3" t="s">
        <v>312</v>
      </c>
      <c r="D90" s="3" t="s">
        <v>16</v>
      </c>
      <c r="E90" s="3" t="s">
        <v>281</v>
      </c>
      <c r="F90" s="3" t="s">
        <v>18</v>
      </c>
      <c r="G90" s="3" t="s">
        <v>236</v>
      </c>
      <c r="H90" s="3" t="s">
        <v>30</v>
      </c>
      <c r="I90" s="3" t="s">
        <v>313</v>
      </c>
      <c r="J90" s="10">
        <v>1</v>
      </c>
      <c r="K90" s="3" t="s">
        <v>18</v>
      </c>
      <c r="L90" s="3" t="s">
        <v>22</v>
      </c>
      <c r="M90" s="3" t="s">
        <v>23</v>
      </c>
      <c r="N90" s="5" t="str">
        <f t="shared" si="1"/>
        <v>RJ</v>
      </c>
    </row>
    <row r="91" spans="1:14" x14ac:dyDescent="0.25">
      <c r="A91" s="3" t="s">
        <v>13</v>
      </c>
      <c r="B91" s="3" t="s">
        <v>14</v>
      </c>
      <c r="C91" s="3" t="s">
        <v>314</v>
      </c>
      <c r="D91" s="3" t="s">
        <v>16</v>
      </c>
      <c r="E91" s="3" t="s">
        <v>281</v>
      </c>
      <c r="F91" s="3" t="s">
        <v>18</v>
      </c>
      <c r="G91" s="3" t="s">
        <v>236</v>
      </c>
      <c r="H91" s="3" t="s">
        <v>20</v>
      </c>
      <c r="I91" s="3" t="s">
        <v>315</v>
      </c>
      <c r="J91" s="10">
        <v>1</v>
      </c>
      <c r="K91" s="3" t="s">
        <v>18</v>
      </c>
      <c r="L91" s="3" t="s">
        <v>22</v>
      </c>
      <c r="M91" s="3" t="s">
        <v>23</v>
      </c>
      <c r="N91" s="5" t="str">
        <f t="shared" si="1"/>
        <v>RJ</v>
      </c>
    </row>
    <row r="92" spans="1:14" x14ac:dyDescent="0.25">
      <c r="A92" s="3" t="s">
        <v>13</v>
      </c>
      <c r="B92" s="3" t="s">
        <v>14</v>
      </c>
      <c r="C92" s="3" t="s">
        <v>316</v>
      </c>
      <c r="D92" s="3" t="s">
        <v>16</v>
      </c>
      <c r="E92" s="3" t="s">
        <v>281</v>
      </c>
      <c r="F92" s="3" t="s">
        <v>18</v>
      </c>
      <c r="G92" s="3" t="s">
        <v>79</v>
      </c>
      <c r="H92" s="3" t="s">
        <v>26</v>
      </c>
      <c r="I92" s="3" t="s">
        <v>317</v>
      </c>
      <c r="J92" s="10">
        <v>1</v>
      </c>
      <c r="K92" s="3" t="s">
        <v>18</v>
      </c>
      <c r="L92" s="3" t="s">
        <v>22</v>
      </c>
      <c r="M92" s="3" t="s">
        <v>23</v>
      </c>
      <c r="N92" s="5" t="str">
        <f t="shared" si="1"/>
        <v>RJ</v>
      </c>
    </row>
    <row r="93" spans="1:14" x14ac:dyDescent="0.25">
      <c r="A93" s="3" t="s">
        <v>13</v>
      </c>
      <c r="B93" s="3" t="s">
        <v>14</v>
      </c>
      <c r="C93" s="3" t="s">
        <v>318</v>
      </c>
      <c r="D93" s="3" t="s">
        <v>16</v>
      </c>
      <c r="E93" s="3" t="s">
        <v>281</v>
      </c>
      <c r="F93" s="3" t="s">
        <v>18</v>
      </c>
      <c r="G93" s="3" t="s">
        <v>87</v>
      </c>
      <c r="H93" s="3" t="s">
        <v>26</v>
      </c>
      <c r="I93" s="3" t="s">
        <v>319</v>
      </c>
      <c r="J93" s="10">
        <v>1</v>
      </c>
      <c r="K93" s="3" t="s">
        <v>18</v>
      </c>
      <c r="L93" s="3" t="s">
        <v>22</v>
      </c>
      <c r="M93" s="3" t="s">
        <v>23</v>
      </c>
      <c r="N93" s="5" t="str">
        <f t="shared" si="1"/>
        <v>RJ</v>
      </c>
    </row>
    <row r="94" spans="1:14" x14ac:dyDescent="0.25">
      <c r="A94" s="3" t="s">
        <v>13</v>
      </c>
      <c r="B94" s="3" t="s">
        <v>14</v>
      </c>
      <c r="C94" s="3" t="s">
        <v>320</v>
      </c>
      <c r="D94" s="3" t="s">
        <v>16</v>
      </c>
      <c r="E94" s="3" t="s">
        <v>281</v>
      </c>
      <c r="F94" s="3" t="s">
        <v>18</v>
      </c>
      <c r="G94" s="3" t="s">
        <v>255</v>
      </c>
      <c r="H94" s="3" t="s">
        <v>26</v>
      </c>
      <c r="I94" s="3" t="s">
        <v>321</v>
      </c>
      <c r="J94" s="10">
        <v>1</v>
      </c>
      <c r="K94" s="3" t="s">
        <v>18</v>
      </c>
      <c r="L94" s="3" t="s">
        <v>22</v>
      </c>
      <c r="M94" s="3" t="s">
        <v>23</v>
      </c>
      <c r="N94" s="5" t="str">
        <f t="shared" si="1"/>
        <v>RJ</v>
      </c>
    </row>
    <row r="95" spans="1:14" x14ac:dyDescent="0.25">
      <c r="A95" s="3" t="s">
        <v>13</v>
      </c>
      <c r="B95" s="3" t="s">
        <v>14</v>
      </c>
      <c r="C95" s="3" t="s">
        <v>322</v>
      </c>
      <c r="D95" s="3" t="s">
        <v>16</v>
      </c>
      <c r="E95" s="3" t="s">
        <v>281</v>
      </c>
      <c r="F95" s="3" t="s">
        <v>18</v>
      </c>
      <c r="G95" s="3" t="s">
        <v>255</v>
      </c>
      <c r="H95" s="3" t="s">
        <v>26</v>
      </c>
      <c r="I95" s="3" t="s">
        <v>323</v>
      </c>
      <c r="J95" s="10">
        <v>1</v>
      </c>
      <c r="K95" s="3" t="s">
        <v>18</v>
      </c>
      <c r="L95" s="3" t="s">
        <v>22</v>
      </c>
      <c r="M95" s="3" t="s">
        <v>23</v>
      </c>
      <c r="N95" s="5" t="str">
        <f t="shared" si="1"/>
        <v>RJ</v>
      </c>
    </row>
    <row r="96" spans="1:14" x14ac:dyDescent="0.25">
      <c r="A96" s="3" t="s">
        <v>13</v>
      </c>
      <c r="B96" s="3" t="s">
        <v>14</v>
      </c>
      <c r="C96" s="3" t="s">
        <v>324</v>
      </c>
      <c r="D96" s="3" t="s">
        <v>16</v>
      </c>
      <c r="E96" s="3" t="s">
        <v>281</v>
      </c>
      <c r="F96" s="3" t="s">
        <v>18</v>
      </c>
      <c r="G96" s="3" t="s">
        <v>95</v>
      </c>
      <c r="H96" s="3" t="s">
        <v>26</v>
      </c>
      <c r="I96" s="3" t="s">
        <v>325</v>
      </c>
      <c r="J96" s="10">
        <v>1</v>
      </c>
      <c r="K96" s="3" t="s">
        <v>18</v>
      </c>
      <c r="L96" s="3" t="s">
        <v>22</v>
      </c>
      <c r="M96" s="3" t="s">
        <v>23</v>
      </c>
      <c r="N96" s="5" t="str">
        <f t="shared" si="1"/>
        <v>RJ</v>
      </c>
    </row>
    <row r="97" spans="1:14" x14ac:dyDescent="0.25">
      <c r="A97" s="3" t="s">
        <v>13</v>
      </c>
      <c r="B97" s="3" t="s">
        <v>14</v>
      </c>
      <c r="C97" s="3" t="s">
        <v>326</v>
      </c>
      <c r="D97" s="3" t="s">
        <v>16</v>
      </c>
      <c r="E97" s="3" t="s">
        <v>281</v>
      </c>
      <c r="F97" s="3" t="s">
        <v>18</v>
      </c>
      <c r="G97" s="3" t="s">
        <v>98</v>
      </c>
      <c r="H97" s="3" t="s">
        <v>26</v>
      </c>
      <c r="I97" s="3" t="s">
        <v>327</v>
      </c>
      <c r="J97" s="10">
        <v>1</v>
      </c>
      <c r="K97" s="3" t="s">
        <v>18</v>
      </c>
      <c r="L97" s="3" t="s">
        <v>22</v>
      </c>
      <c r="M97" s="3" t="s">
        <v>23</v>
      </c>
      <c r="N97" s="5" t="str">
        <f t="shared" si="1"/>
        <v>RJ</v>
      </c>
    </row>
    <row r="98" spans="1:14" x14ac:dyDescent="0.25">
      <c r="A98" s="3" t="s">
        <v>13</v>
      </c>
      <c r="B98" s="3" t="s">
        <v>14</v>
      </c>
      <c r="C98" s="3" t="s">
        <v>328</v>
      </c>
      <c r="D98" s="3" t="s">
        <v>16</v>
      </c>
      <c r="E98" s="3" t="s">
        <v>281</v>
      </c>
      <c r="F98" s="3" t="s">
        <v>18</v>
      </c>
      <c r="G98" s="3" t="s">
        <v>98</v>
      </c>
      <c r="H98" s="3" t="s">
        <v>20</v>
      </c>
      <c r="I98" s="3" t="s">
        <v>329</v>
      </c>
      <c r="J98" s="10">
        <v>1</v>
      </c>
      <c r="K98" s="3" t="s">
        <v>18</v>
      </c>
      <c r="L98" s="3" t="s">
        <v>22</v>
      </c>
      <c r="M98" s="3" t="s">
        <v>23</v>
      </c>
      <c r="N98" s="5" t="str">
        <f t="shared" si="1"/>
        <v>RJ</v>
      </c>
    </row>
    <row r="99" spans="1:14" x14ac:dyDescent="0.25">
      <c r="A99" s="4" t="s">
        <v>13</v>
      </c>
      <c r="B99" s="4" t="s">
        <v>14</v>
      </c>
      <c r="C99" s="4" t="s">
        <v>330</v>
      </c>
      <c r="D99" s="4" t="s">
        <v>16</v>
      </c>
      <c r="E99" s="4" t="s">
        <v>281</v>
      </c>
      <c r="F99" s="4" t="s">
        <v>18</v>
      </c>
      <c r="G99" s="4" t="s">
        <v>110</v>
      </c>
      <c r="H99" s="4" t="s">
        <v>26</v>
      </c>
      <c r="I99" s="4" t="s">
        <v>331</v>
      </c>
      <c r="J99" s="10">
        <v>1</v>
      </c>
      <c r="K99" s="4" t="s">
        <v>18</v>
      </c>
      <c r="L99" s="4" t="s">
        <v>22</v>
      </c>
      <c r="M99" s="4" t="s">
        <v>23</v>
      </c>
      <c r="N99" s="5" t="str">
        <f t="shared" si="1"/>
        <v>RJ</v>
      </c>
    </row>
    <row r="100" spans="1:14" x14ac:dyDescent="0.25">
      <c r="A100" s="4" t="s">
        <v>13</v>
      </c>
      <c r="B100" s="4" t="s">
        <v>14</v>
      </c>
      <c r="C100" s="4" t="s">
        <v>332</v>
      </c>
      <c r="D100" s="4" t="s">
        <v>16</v>
      </c>
      <c r="E100" s="4" t="s">
        <v>281</v>
      </c>
      <c r="F100" s="4" t="s">
        <v>18</v>
      </c>
      <c r="G100" s="4" t="s">
        <v>110</v>
      </c>
      <c r="H100" s="4" t="s">
        <v>20</v>
      </c>
      <c r="I100" s="4" t="s">
        <v>333</v>
      </c>
      <c r="J100" s="10">
        <v>1</v>
      </c>
      <c r="K100" s="4" t="s">
        <v>18</v>
      </c>
      <c r="L100" s="4" t="s">
        <v>22</v>
      </c>
      <c r="M100" s="4" t="s">
        <v>23</v>
      </c>
      <c r="N100" s="5" t="str">
        <f t="shared" si="1"/>
        <v>RJ</v>
      </c>
    </row>
    <row r="101" spans="1:14" x14ac:dyDescent="0.25">
      <c r="A101" s="4" t="s">
        <v>13</v>
      </c>
      <c r="B101" s="4" t="s">
        <v>14</v>
      </c>
      <c r="C101" s="4" t="s">
        <v>334</v>
      </c>
      <c r="D101" s="4" t="s">
        <v>16</v>
      </c>
      <c r="E101" s="4" t="s">
        <v>281</v>
      </c>
      <c r="F101" s="4" t="s">
        <v>18</v>
      </c>
      <c r="G101" s="4" t="s">
        <v>335</v>
      </c>
      <c r="H101" s="4" t="s">
        <v>20</v>
      </c>
      <c r="I101" s="4" t="s">
        <v>336</v>
      </c>
      <c r="J101" s="10">
        <v>1</v>
      </c>
      <c r="K101" s="4" t="s">
        <v>18</v>
      </c>
      <c r="L101" s="4" t="s">
        <v>22</v>
      </c>
      <c r="M101" s="4" t="s">
        <v>23</v>
      </c>
      <c r="N101" s="5" t="str">
        <f t="shared" si="1"/>
        <v>RJ</v>
      </c>
    </row>
    <row r="102" spans="1:14" x14ac:dyDescent="0.25">
      <c r="A102" s="4" t="s">
        <v>13</v>
      </c>
      <c r="B102" s="4" t="s">
        <v>14</v>
      </c>
      <c r="C102" s="4" t="s">
        <v>337</v>
      </c>
      <c r="D102" s="4" t="s">
        <v>16</v>
      </c>
      <c r="E102" s="4" t="s">
        <v>281</v>
      </c>
      <c r="F102" s="4" t="s">
        <v>18</v>
      </c>
      <c r="G102" s="4" t="s">
        <v>118</v>
      </c>
      <c r="H102" s="4" t="s">
        <v>26</v>
      </c>
      <c r="I102" s="4" t="s">
        <v>338</v>
      </c>
      <c r="J102" s="10">
        <v>1</v>
      </c>
      <c r="K102" s="4" t="s">
        <v>18</v>
      </c>
      <c r="L102" s="4" t="s">
        <v>22</v>
      </c>
      <c r="M102" s="4" t="s">
        <v>23</v>
      </c>
      <c r="N102" s="5" t="str">
        <f t="shared" si="1"/>
        <v>RJ</v>
      </c>
    </row>
    <row r="103" spans="1:14" x14ac:dyDescent="0.25">
      <c r="A103" s="4" t="s">
        <v>13</v>
      </c>
      <c r="B103" s="4" t="s">
        <v>14</v>
      </c>
      <c r="C103" s="4" t="s">
        <v>339</v>
      </c>
      <c r="D103" s="4" t="s">
        <v>16</v>
      </c>
      <c r="E103" s="4" t="s">
        <v>281</v>
      </c>
      <c r="F103" s="4" t="s">
        <v>18</v>
      </c>
      <c r="G103" s="4" t="s">
        <v>126</v>
      </c>
      <c r="H103" s="4" t="s">
        <v>20</v>
      </c>
      <c r="I103" s="4" t="s">
        <v>340</v>
      </c>
      <c r="J103" s="10">
        <v>1</v>
      </c>
      <c r="K103" s="4" t="s">
        <v>18</v>
      </c>
      <c r="L103" s="4" t="s">
        <v>22</v>
      </c>
      <c r="M103" s="4" t="s">
        <v>23</v>
      </c>
      <c r="N103" s="5" t="str">
        <f t="shared" si="1"/>
        <v>RJ</v>
      </c>
    </row>
    <row r="104" spans="1:14" x14ac:dyDescent="0.25">
      <c r="A104" s="4" t="s">
        <v>13</v>
      </c>
      <c r="B104" s="4" t="s">
        <v>14</v>
      </c>
      <c r="C104" s="4" t="s">
        <v>341</v>
      </c>
      <c r="D104" s="4" t="s">
        <v>16</v>
      </c>
      <c r="E104" s="4" t="s">
        <v>281</v>
      </c>
      <c r="F104" s="4" t="s">
        <v>18</v>
      </c>
      <c r="G104" s="4" t="s">
        <v>342</v>
      </c>
      <c r="H104" s="4" t="s">
        <v>20</v>
      </c>
      <c r="I104" s="4" t="s">
        <v>343</v>
      </c>
      <c r="J104" s="10">
        <v>1</v>
      </c>
      <c r="K104" s="4" t="s">
        <v>18</v>
      </c>
      <c r="L104" s="4" t="s">
        <v>22</v>
      </c>
      <c r="M104" s="4" t="s">
        <v>23</v>
      </c>
      <c r="N104" s="5" t="str">
        <f t="shared" si="1"/>
        <v>RJ</v>
      </c>
    </row>
    <row r="105" spans="1:14" x14ac:dyDescent="0.25">
      <c r="A105" s="4" t="s">
        <v>13</v>
      </c>
      <c r="B105" s="4" t="s">
        <v>14</v>
      </c>
      <c r="C105" s="4" t="s">
        <v>344</v>
      </c>
      <c r="D105" s="4" t="s">
        <v>16</v>
      </c>
      <c r="E105" s="4" t="s">
        <v>281</v>
      </c>
      <c r="F105" s="4" t="s">
        <v>18</v>
      </c>
      <c r="G105" s="4" t="s">
        <v>139</v>
      </c>
      <c r="H105" s="4" t="s">
        <v>20</v>
      </c>
      <c r="I105" s="4" t="s">
        <v>345</v>
      </c>
      <c r="J105" s="10">
        <v>1</v>
      </c>
      <c r="K105" s="4" t="s">
        <v>18</v>
      </c>
      <c r="L105" s="4" t="s">
        <v>22</v>
      </c>
      <c r="M105" s="4" t="s">
        <v>23</v>
      </c>
      <c r="N105" s="5" t="str">
        <f t="shared" si="1"/>
        <v>RJ</v>
      </c>
    </row>
    <row r="106" spans="1:14" x14ac:dyDescent="0.25">
      <c r="A106" s="4" t="s">
        <v>13</v>
      </c>
      <c r="B106" s="4" t="s">
        <v>14</v>
      </c>
      <c r="C106" s="4" t="s">
        <v>346</v>
      </c>
      <c r="D106" s="4" t="s">
        <v>16</v>
      </c>
      <c r="E106" s="4" t="s">
        <v>281</v>
      </c>
      <c r="F106" s="4" t="s">
        <v>18</v>
      </c>
      <c r="G106" s="4" t="s">
        <v>347</v>
      </c>
      <c r="H106" s="4" t="s">
        <v>26</v>
      </c>
      <c r="I106" s="4" t="s">
        <v>348</v>
      </c>
      <c r="J106" s="10">
        <v>1</v>
      </c>
      <c r="K106" s="4" t="s">
        <v>18</v>
      </c>
      <c r="L106" s="4" t="s">
        <v>22</v>
      </c>
      <c r="M106" s="4" t="s">
        <v>23</v>
      </c>
      <c r="N106" s="5" t="str">
        <f t="shared" si="1"/>
        <v>RJ</v>
      </c>
    </row>
    <row r="107" spans="1:14" x14ac:dyDescent="0.25">
      <c r="A107" s="4" t="s">
        <v>13</v>
      </c>
      <c r="B107" s="4" t="s">
        <v>14</v>
      </c>
      <c r="C107" s="4" t="s">
        <v>349</v>
      </c>
      <c r="D107" s="4" t="s">
        <v>16</v>
      </c>
      <c r="E107" s="4" t="s">
        <v>281</v>
      </c>
      <c r="F107" s="4" t="s">
        <v>18</v>
      </c>
      <c r="G107" s="4" t="s">
        <v>347</v>
      </c>
      <c r="H107" s="4" t="s">
        <v>20</v>
      </c>
      <c r="I107" s="4" t="s">
        <v>350</v>
      </c>
      <c r="J107" s="10">
        <v>1</v>
      </c>
      <c r="K107" s="4" t="s">
        <v>18</v>
      </c>
      <c r="L107" s="4" t="s">
        <v>22</v>
      </c>
      <c r="M107" s="4" t="s">
        <v>23</v>
      </c>
      <c r="N107" s="5" t="str">
        <f t="shared" si="1"/>
        <v>RJ</v>
      </c>
    </row>
    <row r="108" spans="1:14" x14ac:dyDescent="0.25">
      <c r="A108" s="4" t="s">
        <v>13</v>
      </c>
      <c r="B108" s="4" t="s">
        <v>14</v>
      </c>
      <c r="C108" s="4" t="s">
        <v>351</v>
      </c>
      <c r="D108" s="4" t="s">
        <v>16</v>
      </c>
      <c r="E108" s="4" t="s">
        <v>281</v>
      </c>
      <c r="F108" s="4" t="s">
        <v>18</v>
      </c>
      <c r="G108" s="4" t="s">
        <v>142</v>
      </c>
      <c r="H108" s="4" t="s">
        <v>26</v>
      </c>
      <c r="I108" s="4" t="s">
        <v>352</v>
      </c>
      <c r="J108" s="10">
        <v>1</v>
      </c>
      <c r="K108" s="4" t="s">
        <v>18</v>
      </c>
      <c r="L108" s="4" t="s">
        <v>22</v>
      </c>
      <c r="M108" s="4" t="s">
        <v>23</v>
      </c>
      <c r="N108" s="5" t="str">
        <f t="shared" si="1"/>
        <v>RJ</v>
      </c>
    </row>
    <row r="109" spans="1:14" x14ac:dyDescent="0.25">
      <c r="A109" s="4" t="s">
        <v>13</v>
      </c>
      <c r="B109" s="4" t="s">
        <v>14</v>
      </c>
      <c r="C109" s="4" t="s">
        <v>353</v>
      </c>
      <c r="D109" s="4" t="s">
        <v>16</v>
      </c>
      <c r="E109" s="4" t="s">
        <v>281</v>
      </c>
      <c r="F109" s="4" t="s">
        <v>18</v>
      </c>
      <c r="G109" s="4" t="s">
        <v>354</v>
      </c>
      <c r="H109" s="4" t="s">
        <v>20</v>
      </c>
      <c r="I109" s="4" t="s">
        <v>355</v>
      </c>
      <c r="J109" s="10">
        <v>1</v>
      </c>
      <c r="K109" s="4" t="s">
        <v>18</v>
      </c>
      <c r="L109" s="4" t="s">
        <v>22</v>
      </c>
      <c r="M109" s="4" t="s">
        <v>23</v>
      </c>
      <c r="N109" s="5" t="str">
        <f t="shared" si="1"/>
        <v>RJ</v>
      </c>
    </row>
    <row r="110" spans="1:14" x14ac:dyDescent="0.25">
      <c r="A110" s="4" t="s">
        <v>13</v>
      </c>
      <c r="B110" s="4" t="s">
        <v>14</v>
      </c>
      <c r="C110" s="4" t="s">
        <v>356</v>
      </c>
      <c r="D110" s="4" t="s">
        <v>16</v>
      </c>
      <c r="E110" s="4" t="s">
        <v>281</v>
      </c>
      <c r="F110" s="4" t="s">
        <v>18</v>
      </c>
      <c r="G110" s="4" t="s">
        <v>167</v>
      </c>
      <c r="H110" s="4" t="s">
        <v>30</v>
      </c>
      <c r="I110" s="4" t="s">
        <v>357</v>
      </c>
      <c r="J110" s="10">
        <v>1</v>
      </c>
      <c r="K110" s="4" t="s">
        <v>18</v>
      </c>
      <c r="L110" s="4" t="s">
        <v>22</v>
      </c>
      <c r="M110" s="4" t="s">
        <v>23</v>
      </c>
      <c r="N110" s="5" t="str">
        <f t="shared" si="1"/>
        <v>RJ</v>
      </c>
    </row>
    <row r="111" spans="1:14" x14ac:dyDescent="0.25">
      <c r="A111" s="4" t="s">
        <v>13</v>
      </c>
      <c r="B111" s="4" t="s">
        <v>14</v>
      </c>
      <c r="C111" s="4" t="s">
        <v>358</v>
      </c>
      <c r="D111" s="4" t="s">
        <v>16</v>
      </c>
      <c r="E111" s="4" t="s">
        <v>281</v>
      </c>
      <c r="F111" s="4" t="s">
        <v>18</v>
      </c>
      <c r="G111" s="4" t="s">
        <v>167</v>
      </c>
      <c r="H111" s="4" t="s">
        <v>30</v>
      </c>
      <c r="I111" s="4" t="s">
        <v>359</v>
      </c>
      <c r="J111" s="10">
        <v>1</v>
      </c>
      <c r="K111" s="4" t="s">
        <v>18</v>
      </c>
      <c r="L111" s="4" t="s">
        <v>22</v>
      </c>
      <c r="M111" s="4" t="s">
        <v>23</v>
      </c>
      <c r="N111" s="5" t="str">
        <f t="shared" si="1"/>
        <v>RJ</v>
      </c>
    </row>
    <row r="112" spans="1:14" x14ac:dyDescent="0.25">
      <c r="A112" s="4" t="s">
        <v>13</v>
      </c>
      <c r="B112" s="4" t="s">
        <v>14</v>
      </c>
      <c r="C112" s="4" t="s">
        <v>360</v>
      </c>
      <c r="D112" s="4" t="s">
        <v>16</v>
      </c>
      <c r="E112" s="4" t="s">
        <v>281</v>
      </c>
      <c r="F112" s="4" t="s">
        <v>18</v>
      </c>
      <c r="G112" s="4" t="s">
        <v>361</v>
      </c>
      <c r="H112" s="4" t="s">
        <v>26</v>
      </c>
      <c r="I112" s="4" t="s">
        <v>362</v>
      </c>
      <c r="J112" s="10">
        <v>1</v>
      </c>
      <c r="K112" s="4" t="s">
        <v>18</v>
      </c>
      <c r="L112" s="4" t="s">
        <v>22</v>
      </c>
      <c r="M112" s="4" t="s">
        <v>23</v>
      </c>
      <c r="N112" s="5" t="str">
        <f t="shared" si="1"/>
        <v>RJ</v>
      </c>
    </row>
    <row r="113" spans="1:14" x14ac:dyDescent="0.25">
      <c r="A113" s="4" t="s">
        <v>13</v>
      </c>
      <c r="B113" s="4" t="s">
        <v>14</v>
      </c>
      <c r="C113" s="4" t="s">
        <v>363</v>
      </c>
      <c r="D113" s="4" t="s">
        <v>16</v>
      </c>
      <c r="E113" s="4" t="s">
        <v>281</v>
      </c>
      <c r="F113" s="4" t="s">
        <v>18</v>
      </c>
      <c r="G113" s="4" t="s">
        <v>361</v>
      </c>
      <c r="H113" s="4" t="s">
        <v>20</v>
      </c>
      <c r="I113" s="4" t="s">
        <v>364</v>
      </c>
      <c r="J113" s="10">
        <v>1</v>
      </c>
      <c r="K113" s="4" t="s">
        <v>18</v>
      </c>
      <c r="L113" s="4" t="s">
        <v>22</v>
      </c>
      <c r="M113" s="4" t="s">
        <v>23</v>
      </c>
      <c r="N113" s="5" t="str">
        <f t="shared" si="1"/>
        <v>RJ</v>
      </c>
    </row>
    <row r="114" spans="1:14" x14ac:dyDescent="0.25">
      <c r="A114" s="4" t="s">
        <v>13</v>
      </c>
      <c r="B114" s="4" t="s">
        <v>14</v>
      </c>
      <c r="C114" s="4" t="s">
        <v>365</v>
      </c>
      <c r="D114" s="4" t="s">
        <v>16</v>
      </c>
      <c r="E114" s="4" t="s">
        <v>281</v>
      </c>
      <c r="F114" s="4" t="s">
        <v>18</v>
      </c>
      <c r="G114" s="4" t="s">
        <v>170</v>
      </c>
      <c r="H114" s="4" t="s">
        <v>20</v>
      </c>
      <c r="I114" s="4" t="s">
        <v>366</v>
      </c>
      <c r="J114" s="10">
        <v>1</v>
      </c>
      <c r="K114" s="4" t="s">
        <v>18</v>
      </c>
      <c r="L114" s="4" t="s">
        <v>22</v>
      </c>
      <c r="M114" s="4" t="s">
        <v>23</v>
      </c>
      <c r="N114" s="5" t="str">
        <f t="shared" si="1"/>
        <v>RJ</v>
      </c>
    </row>
    <row r="115" spans="1:14" x14ac:dyDescent="0.25">
      <c r="A115" s="4" t="s">
        <v>13</v>
      </c>
      <c r="B115" s="4" t="s">
        <v>14</v>
      </c>
      <c r="C115" s="4" t="s">
        <v>367</v>
      </c>
      <c r="D115" s="4" t="s">
        <v>16</v>
      </c>
      <c r="E115" s="4" t="s">
        <v>281</v>
      </c>
      <c r="F115" s="4" t="s">
        <v>18</v>
      </c>
      <c r="G115" s="4" t="s">
        <v>176</v>
      </c>
      <c r="H115" s="4" t="s">
        <v>20</v>
      </c>
      <c r="I115" s="4" t="s">
        <v>368</v>
      </c>
      <c r="J115" s="10">
        <v>1</v>
      </c>
      <c r="K115" s="4" t="s">
        <v>18</v>
      </c>
      <c r="L115" s="4" t="s">
        <v>22</v>
      </c>
      <c r="M115" s="4" t="s">
        <v>23</v>
      </c>
      <c r="N115" s="5" t="str">
        <f t="shared" si="1"/>
        <v>RJ</v>
      </c>
    </row>
    <row r="116" spans="1:14" x14ac:dyDescent="0.25">
      <c r="A116" s="4" t="s">
        <v>13</v>
      </c>
      <c r="B116" s="4" t="s">
        <v>14</v>
      </c>
      <c r="C116" s="4" t="s">
        <v>369</v>
      </c>
      <c r="D116" s="4" t="s">
        <v>16</v>
      </c>
      <c r="E116" s="4" t="s">
        <v>281</v>
      </c>
      <c r="F116" s="4" t="s">
        <v>18</v>
      </c>
      <c r="G116" s="4" t="s">
        <v>370</v>
      </c>
      <c r="H116" s="4" t="s">
        <v>26</v>
      </c>
      <c r="I116" s="4" t="s">
        <v>371</v>
      </c>
      <c r="J116" s="10">
        <v>1</v>
      </c>
      <c r="K116" s="4" t="s">
        <v>18</v>
      </c>
      <c r="L116" s="4" t="s">
        <v>22</v>
      </c>
      <c r="M116" s="4" t="s">
        <v>23</v>
      </c>
      <c r="N116" s="5" t="str">
        <f t="shared" si="1"/>
        <v>RJ</v>
      </c>
    </row>
    <row r="117" spans="1:14" x14ac:dyDescent="0.25">
      <c r="A117" s="4" t="s">
        <v>13</v>
      </c>
      <c r="B117" s="4" t="s">
        <v>14</v>
      </c>
      <c r="C117" s="4" t="s">
        <v>372</v>
      </c>
      <c r="D117" s="4" t="s">
        <v>16</v>
      </c>
      <c r="E117" s="4" t="s">
        <v>281</v>
      </c>
      <c r="F117" s="4" t="s">
        <v>18</v>
      </c>
      <c r="G117" s="4" t="s">
        <v>370</v>
      </c>
      <c r="H117" s="4" t="s">
        <v>20</v>
      </c>
      <c r="I117" s="4" t="s">
        <v>373</v>
      </c>
      <c r="J117" s="10">
        <v>1</v>
      </c>
      <c r="K117" s="4" t="s">
        <v>18</v>
      </c>
      <c r="L117" s="4" t="s">
        <v>22</v>
      </c>
      <c r="M117" s="4" t="s">
        <v>23</v>
      </c>
      <c r="N117" s="5" t="str">
        <f t="shared" si="1"/>
        <v>RJ</v>
      </c>
    </row>
    <row r="118" spans="1:14" x14ac:dyDescent="0.25">
      <c r="A118" s="4" t="s">
        <v>13</v>
      </c>
      <c r="B118" s="4" t="s">
        <v>14</v>
      </c>
      <c r="C118" s="4" t="s">
        <v>374</v>
      </c>
      <c r="D118" s="4" t="s">
        <v>16</v>
      </c>
      <c r="E118" s="4" t="s">
        <v>281</v>
      </c>
      <c r="F118" s="4" t="s">
        <v>18</v>
      </c>
      <c r="G118" s="4" t="s">
        <v>179</v>
      </c>
      <c r="H118" s="4" t="s">
        <v>26</v>
      </c>
      <c r="I118" s="4" t="s">
        <v>375</v>
      </c>
      <c r="J118" s="10">
        <v>1</v>
      </c>
      <c r="K118" s="4" t="s">
        <v>18</v>
      </c>
      <c r="L118" s="4" t="s">
        <v>22</v>
      </c>
      <c r="M118" s="4" t="s">
        <v>23</v>
      </c>
      <c r="N118" s="5" t="str">
        <f t="shared" si="1"/>
        <v>RJ</v>
      </c>
    </row>
    <row r="119" spans="1:14" x14ac:dyDescent="0.25">
      <c r="A119" s="4" t="s">
        <v>13</v>
      </c>
      <c r="B119" s="4" t="s">
        <v>14</v>
      </c>
      <c r="C119" s="4" t="s">
        <v>376</v>
      </c>
      <c r="D119" s="4" t="s">
        <v>16</v>
      </c>
      <c r="E119" s="4" t="s">
        <v>281</v>
      </c>
      <c r="F119" s="4" t="s">
        <v>18</v>
      </c>
      <c r="G119" s="4" t="s">
        <v>182</v>
      </c>
      <c r="H119" s="4" t="s">
        <v>20</v>
      </c>
      <c r="I119" s="4" t="s">
        <v>377</v>
      </c>
      <c r="J119" s="10">
        <v>1</v>
      </c>
      <c r="K119" s="4" t="s">
        <v>18</v>
      </c>
      <c r="L119" s="4" t="s">
        <v>22</v>
      </c>
      <c r="M119" s="4" t="s">
        <v>23</v>
      </c>
      <c r="N119" s="5" t="str">
        <f t="shared" si="1"/>
        <v>RJ</v>
      </c>
    </row>
    <row r="120" spans="1:14" x14ac:dyDescent="0.25">
      <c r="A120" s="4" t="s">
        <v>13</v>
      </c>
      <c r="B120" s="4" t="s">
        <v>14</v>
      </c>
      <c r="C120" s="4" t="s">
        <v>378</v>
      </c>
      <c r="D120" s="4" t="s">
        <v>16</v>
      </c>
      <c r="E120" s="4" t="s">
        <v>281</v>
      </c>
      <c r="F120" s="4" t="s">
        <v>18</v>
      </c>
      <c r="G120" s="4" t="s">
        <v>182</v>
      </c>
      <c r="H120" s="4" t="s">
        <v>20</v>
      </c>
      <c r="I120" s="4" t="s">
        <v>379</v>
      </c>
      <c r="J120" s="10">
        <v>1</v>
      </c>
      <c r="K120" s="4" t="s">
        <v>18</v>
      </c>
      <c r="L120" s="4" t="s">
        <v>22</v>
      </c>
      <c r="M120" s="4" t="s">
        <v>23</v>
      </c>
      <c r="N120" s="5" t="str">
        <f t="shared" si="1"/>
        <v>RJ</v>
      </c>
    </row>
    <row r="121" spans="1:14" x14ac:dyDescent="0.25">
      <c r="A121" s="4" t="s">
        <v>13</v>
      </c>
      <c r="B121" s="4" t="s">
        <v>14</v>
      </c>
      <c r="C121" s="4" t="s">
        <v>380</v>
      </c>
      <c r="D121" s="4" t="s">
        <v>16</v>
      </c>
      <c r="E121" s="4" t="s">
        <v>281</v>
      </c>
      <c r="F121" s="4" t="s">
        <v>18</v>
      </c>
      <c r="G121" s="4" t="s">
        <v>185</v>
      </c>
      <c r="H121" s="4" t="s">
        <v>20</v>
      </c>
      <c r="I121" s="4" t="s">
        <v>381</v>
      </c>
      <c r="J121" s="10">
        <v>1</v>
      </c>
      <c r="K121" s="4" t="s">
        <v>18</v>
      </c>
      <c r="L121" s="4" t="s">
        <v>22</v>
      </c>
      <c r="M121" s="4" t="s">
        <v>23</v>
      </c>
      <c r="N121" s="5" t="str">
        <f t="shared" si="1"/>
        <v>RJ</v>
      </c>
    </row>
    <row r="122" spans="1:14" x14ac:dyDescent="0.25">
      <c r="A122" s="4" t="s">
        <v>13</v>
      </c>
      <c r="B122" s="4" t="s">
        <v>14</v>
      </c>
      <c r="C122" s="4" t="s">
        <v>382</v>
      </c>
      <c r="D122" s="4" t="s">
        <v>16</v>
      </c>
      <c r="E122" s="4" t="s">
        <v>281</v>
      </c>
      <c r="F122" s="4" t="s">
        <v>18</v>
      </c>
      <c r="G122" s="4" t="s">
        <v>185</v>
      </c>
      <c r="H122" s="4" t="s">
        <v>20</v>
      </c>
      <c r="I122" s="4" t="s">
        <v>383</v>
      </c>
      <c r="J122" s="10">
        <v>1</v>
      </c>
      <c r="K122" s="4" t="s">
        <v>18</v>
      </c>
      <c r="L122" s="4" t="s">
        <v>22</v>
      </c>
      <c r="M122" s="4" t="s">
        <v>23</v>
      </c>
      <c r="N122" s="5" t="str">
        <f t="shared" si="1"/>
        <v>RJ</v>
      </c>
    </row>
    <row r="123" spans="1:14" x14ac:dyDescent="0.25">
      <c r="A123" s="4" t="s">
        <v>13</v>
      </c>
      <c r="B123" s="4" t="s">
        <v>14</v>
      </c>
      <c r="C123" s="4" t="s">
        <v>384</v>
      </c>
      <c r="D123" s="4" t="s">
        <v>16</v>
      </c>
      <c r="E123" s="4" t="s">
        <v>281</v>
      </c>
      <c r="F123" s="4" t="s">
        <v>18</v>
      </c>
      <c r="G123" s="4" t="s">
        <v>185</v>
      </c>
      <c r="H123" s="4" t="s">
        <v>20</v>
      </c>
      <c r="I123" s="4" t="s">
        <v>385</v>
      </c>
      <c r="J123" s="10">
        <v>1</v>
      </c>
      <c r="K123" s="4" t="s">
        <v>18</v>
      </c>
      <c r="L123" s="4" t="s">
        <v>22</v>
      </c>
      <c r="M123" s="4" t="s">
        <v>23</v>
      </c>
      <c r="N123" s="5" t="str">
        <f t="shared" si="1"/>
        <v>RJ</v>
      </c>
    </row>
    <row r="124" spans="1:14" x14ac:dyDescent="0.25">
      <c r="A124" s="4" t="s">
        <v>13</v>
      </c>
      <c r="B124" s="4" t="s">
        <v>14</v>
      </c>
      <c r="C124" s="4" t="s">
        <v>386</v>
      </c>
      <c r="D124" s="4" t="s">
        <v>16</v>
      </c>
      <c r="E124" s="4" t="s">
        <v>281</v>
      </c>
      <c r="F124" s="4" t="s">
        <v>18</v>
      </c>
      <c r="G124" s="4" t="s">
        <v>188</v>
      </c>
      <c r="H124" s="4" t="s">
        <v>26</v>
      </c>
      <c r="I124" s="4" t="s">
        <v>387</v>
      </c>
      <c r="J124" s="10">
        <v>1</v>
      </c>
      <c r="K124" s="4" t="s">
        <v>18</v>
      </c>
      <c r="L124" s="4" t="s">
        <v>22</v>
      </c>
      <c r="M124" s="4" t="s">
        <v>23</v>
      </c>
      <c r="N124" s="5" t="str">
        <f t="shared" si="1"/>
        <v>RJ</v>
      </c>
    </row>
    <row r="125" spans="1:14" x14ac:dyDescent="0.25">
      <c r="A125" s="4" t="s">
        <v>13</v>
      </c>
      <c r="B125" s="4" t="s">
        <v>14</v>
      </c>
      <c r="C125" s="4" t="s">
        <v>388</v>
      </c>
      <c r="D125" s="4" t="s">
        <v>16</v>
      </c>
      <c r="E125" s="4" t="s">
        <v>281</v>
      </c>
      <c r="F125" s="4" t="s">
        <v>18</v>
      </c>
      <c r="G125" s="4" t="s">
        <v>188</v>
      </c>
      <c r="H125" s="4" t="s">
        <v>26</v>
      </c>
      <c r="I125" s="4" t="s">
        <v>389</v>
      </c>
      <c r="J125" s="10">
        <v>1</v>
      </c>
      <c r="K125" s="4" t="s">
        <v>18</v>
      </c>
      <c r="L125" s="4" t="s">
        <v>22</v>
      </c>
      <c r="M125" s="4" t="s">
        <v>23</v>
      </c>
      <c r="N125" s="5" t="str">
        <f t="shared" si="1"/>
        <v>RJ</v>
      </c>
    </row>
    <row r="126" spans="1:14" x14ac:dyDescent="0.25">
      <c r="A126" s="4" t="s">
        <v>13</v>
      </c>
      <c r="B126" s="4" t="s">
        <v>14</v>
      </c>
      <c r="C126" s="4" t="s">
        <v>390</v>
      </c>
      <c r="D126" s="4" t="s">
        <v>16</v>
      </c>
      <c r="E126" s="4" t="s">
        <v>281</v>
      </c>
      <c r="F126" s="4" t="s">
        <v>18</v>
      </c>
      <c r="G126" s="4" t="s">
        <v>391</v>
      </c>
      <c r="H126" s="4" t="s">
        <v>26</v>
      </c>
      <c r="I126" s="4" t="s">
        <v>392</v>
      </c>
      <c r="J126" s="10">
        <v>1</v>
      </c>
      <c r="K126" s="4" t="s">
        <v>18</v>
      </c>
      <c r="L126" s="4" t="s">
        <v>22</v>
      </c>
      <c r="M126" s="4" t="s">
        <v>23</v>
      </c>
      <c r="N126" s="5" t="str">
        <f t="shared" si="1"/>
        <v>RJ</v>
      </c>
    </row>
    <row r="127" spans="1:14" x14ac:dyDescent="0.25">
      <c r="A127" s="4" t="s">
        <v>13</v>
      </c>
      <c r="B127" s="4" t="s">
        <v>14</v>
      </c>
      <c r="C127" s="4" t="s">
        <v>393</v>
      </c>
      <c r="D127" s="4" t="s">
        <v>16</v>
      </c>
      <c r="E127" s="4" t="s">
        <v>281</v>
      </c>
      <c r="F127" s="4" t="s">
        <v>18</v>
      </c>
      <c r="G127" s="4" t="s">
        <v>197</v>
      </c>
      <c r="H127" s="4" t="s">
        <v>20</v>
      </c>
      <c r="I127" s="4" t="s">
        <v>394</v>
      </c>
      <c r="J127" s="10">
        <v>1</v>
      </c>
      <c r="K127" s="4" t="s">
        <v>18</v>
      </c>
      <c r="L127" s="4" t="s">
        <v>22</v>
      </c>
      <c r="M127" s="4" t="s">
        <v>23</v>
      </c>
      <c r="N127" s="5" t="str">
        <f t="shared" si="1"/>
        <v>RJ</v>
      </c>
    </row>
    <row r="128" spans="1:14" x14ac:dyDescent="0.25">
      <c r="A128" s="4" t="s">
        <v>13</v>
      </c>
      <c r="B128" s="4" t="s">
        <v>14</v>
      </c>
      <c r="C128" s="4" t="s">
        <v>395</v>
      </c>
      <c r="D128" s="4" t="s">
        <v>16</v>
      </c>
      <c r="E128" s="4" t="s">
        <v>281</v>
      </c>
      <c r="F128" s="4" t="s">
        <v>18</v>
      </c>
      <c r="G128" s="4" t="s">
        <v>203</v>
      </c>
      <c r="H128" s="4" t="s">
        <v>26</v>
      </c>
      <c r="I128" s="4" t="s">
        <v>396</v>
      </c>
      <c r="J128" s="10">
        <v>1</v>
      </c>
      <c r="K128" s="4" t="s">
        <v>18</v>
      </c>
      <c r="L128" s="4" t="s">
        <v>22</v>
      </c>
      <c r="M128" s="4" t="s">
        <v>23</v>
      </c>
      <c r="N128" s="5" t="str">
        <f t="shared" si="1"/>
        <v>RJ</v>
      </c>
    </row>
    <row r="129" spans="1:14" x14ac:dyDescent="0.25">
      <c r="A129" s="4" t="s">
        <v>13</v>
      </c>
      <c r="B129" s="4" t="s">
        <v>14</v>
      </c>
      <c r="C129" s="4" t="s">
        <v>397</v>
      </c>
      <c r="D129" s="4" t="s">
        <v>16</v>
      </c>
      <c r="E129" s="4" t="s">
        <v>281</v>
      </c>
      <c r="F129" s="4" t="s">
        <v>18</v>
      </c>
      <c r="G129" s="4" t="s">
        <v>203</v>
      </c>
      <c r="H129" s="4" t="s">
        <v>26</v>
      </c>
      <c r="I129" s="4" t="s">
        <v>398</v>
      </c>
      <c r="J129" s="10">
        <v>1</v>
      </c>
      <c r="K129" s="4" t="s">
        <v>18</v>
      </c>
      <c r="L129" s="4" t="s">
        <v>22</v>
      </c>
      <c r="M129" s="4" t="s">
        <v>23</v>
      </c>
      <c r="N129" s="5" t="str">
        <f t="shared" si="1"/>
        <v>RJ</v>
      </c>
    </row>
    <row r="130" spans="1:14" x14ac:dyDescent="0.25">
      <c r="A130" s="4" t="s">
        <v>13</v>
      </c>
      <c r="B130" s="4" t="s">
        <v>14</v>
      </c>
      <c r="C130" s="4" t="s">
        <v>399</v>
      </c>
      <c r="D130" s="4" t="s">
        <v>16</v>
      </c>
      <c r="E130" s="4" t="s">
        <v>281</v>
      </c>
      <c r="F130" s="4" t="s">
        <v>18</v>
      </c>
      <c r="G130" s="4" t="s">
        <v>210</v>
      </c>
      <c r="H130" s="4" t="s">
        <v>26</v>
      </c>
      <c r="I130" s="4" t="s">
        <v>400</v>
      </c>
      <c r="J130" s="10">
        <v>1</v>
      </c>
      <c r="K130" s="4" t="s">
        <v>18</v>
      </c>
      <c r="L130" s="4" t="s">
        <v>22</v>
      </c>
      <c r="M130" s="4" t="s">
        <v>23</v>
      </c>
      <c r="N130" s="5" t="str">
        <f t="shared" si="1"/>
        <v>RJ</v>
      </c>
    </row>
    <row r="131" spans="1:14" x14ac:dyDescent="0.25">
      <c r="A131" s="4" t="s">
        <v>13</v>
      </c>
      <c r="B131" s="4" t="s">
        <v>14</v>
      </c>
      <c r="C131" s="4" t="s">
        <v>225</v>
      </c>
      <c r="D131" s="4" t="s">
        <v>16</v>
      </c>
      <c r="E131" s="4" t="s">
        <v>226</v>
      </c>
      <c r="F131" s="4" t="s">
        <v>18</v>
      </c>
      <c r="G131" s="4" t="s">
        <v>25</v>
      </c>
      <c r="H131" s="4" t="s">
        <v>26</v>
      </c>
      <c r="I131" s="4" t="s">
        <v>227</v>
      </c>
      <c r="J131" s="10">
        <v>1</v>
      </c>
      <c r="K131" s="4" t="s">
        <v>18</v>
      </c>
      <c r="L131" s="4" t="s">
        <v>22</v>
      </c>
      <c r="M131" s="4" t="s">
        <v>23</v>
      </c>
      <c r="N131" s="5" t="str">
        <f t="shared" ref="N131:N194" si="2">IF(ISNUMBER(SEARCH("SP",B131)),"SP","RJ")</f>
        <v>RJ</v>
      </c>
    </row>
    <row r="132" spans="1:14" x14ac:dyDescent="0.25">
      <c r="A132" s="4" t="s">
        <v>13</v>
      </c>
      <c r="B132" s="4" t="s">
        <v>14</v>
      </c>
      <c r="C132" s="4" t="s">
        <v>228</v>
      </c>
      <c r="D132" s="4" t="s">
        <v>16</v>
      </c>
      <c r="E132" s="4" t="s">
        <v>226</v>
      </c>
      <c r="F132" s="4" t="s">
        <v>18</v>
      </c>
      <c r="G132" s="4" t="s">
        <v>29</v>
      </c>
      <c r="H132" s="4" t="s">
        <v>26</v>
      </c>
      <c r="I132" s="4" t="s">
        <v>229</v>
      </c>
      <c r="J132" s="10">
        <v>1</v>
      </c>
      <c r="K132" s="4" t="s">
        <v>18</v>
      </c>
      <c r="L132" s="4" t="s">
        <v>22</v>
      </c>
      <c r="M132" s="4" t="s">
        <v>23</v>
      </c>
      <c r="N132" s="5" t="str">
        <f t="shared" si="2"/>
        <v>RJ</v>
      </c>
    </row>
    <row r="133" spans="1:14" x14ac:dyDescent="0.25">
      <c r="A133" s="4" t="s">
        <v>13</v>
      </c>
      <c r="B133" s="4" t="s">
        <v>14</v>
      </c>
      <c r="C133" s="4" t="s">
        <v>230</v>
      </c>
      <c r="D133" s="4" t="s">
        <v>16</v>
      </c>
      <c r="E133" s="4" t="s">
        <v>226</v>
      </c>
      <c r="F133" s="4" t="s">
        <v>18</v>
      </c>
      <c r="G133" s="4" t="s">
        <v>29</v>
      </c>
      <c r="H133" s="4" t="s">
        <v>26</v>
      </c>
      <c r="I133" s="4" t="s">
        <v>231</v>
      </c>
      <c r="J133" s="10">
        <v>1</v>
      </c>
      <c r="K133" s="4" t="s">
        <v>18</v>
      </c>
      <c r="L133" s="4" t="s">
        <v>22</v>
      </c>
      <c r="M133" s="4" t="s">
        <v>23</v>
      </c>
      <c r="N133" s="5" t="str">
        <f t="shared" si="2"/>
        <v>RJ</v>
      </c>
    </row>
    <row r="134" spans="1:14" x14ac:dyDescent="0.25">
      <c r="A134" s="4" t="s">
        <v>13</v>
      </c>
      <c r="B134" s="4" t="s">
        <v>14</v>
      </c>
      <c r="C134" s="4" t="s">
        <v>232</v>
      </c>
      <c r="D134" s="4" t="s">
        <v>16</v>
      </c>
      <c r="E134" s="4" t="s">
        <v>226</v>
      </c>
      <c r="F134" s="4" t="s">
        <v>18</v>
      </c>
      <c r="G134" s="4" t="s">
        <v>233</v>
      </c>
      <c r="H134" s="4" t="s">
        <v>20</v>
      </c>
      <c r="I134" s="4" t="s">
        <v>234</v>
      </c>
      <c r="J134" s="10">
        <v>1</v>
      </c>
      <c r="K134" s="4" t="s">
        <v>18</v>
      </c>
      <c r="L134" s="4" t="s">
        <v>22</v>
      </c>
      <c r="M134" s="4" t="s">
        <v>23</v>
      </c>
      <c r="N134" s="5" t="str">
        <f t="shared" si="2"/>
        <v>RJ</v>
      </c>
    </row>
    <row r="135" spans="1:14" x14ac:dyDescent="0.25">
      <c r="A135" s="4" t="s">
        <v>13</v>
      </c>
      <c r="B135" s="4" t="s">
        <v>14</v>
      </c>
      <c r="C135" s="4" t="s">
        <v>235</v>
      </c>
      <c r="D135" s="4" t="s">
        <v>16</v>
      </c>
      <c r="E135" s="4" t="s">
        <v>226</v>
      </c>
      <c r="F135" s="4" t="s">
        <v>18</v>
      </c>
      <c r="G135" s="4" t="s">
        <v>236</v>
      </c>
      <c r="H135" s="4" t="s">
        <v>20</v>
      </c>
      <c r="I135" s="4" t="s">
        <v>237</v>
      </c>
      <c r="J135" s="10">
        <v>1</v>
      </c>
      <c r="K135" s="4" t="s">
        <v>18</v>
      </c>
      <c r="L135" s="4" t="s">
        <v>22</v>
      </c>
      <c r="M135" s="4" t="s">
        <v>23</v>
      </c>
      <c r="N135" s="5" t="str">
        <f t="shared" si="2"/>
        <v>RJ</v>
      </c>
    </row>
    <row r="136" spans="1:14" x14ac:dyDescent="0.25">
      <c r="A136" s="4" t="s">
        <v>13</v>
      </c>
      <c r="B136" s="4" t="s">
        <v>14</v>
      </c>
      <c r="C136" s="4" t="s">
        <v>238</v>
      </c>
      <c r="D136" s="4" t="s">
        <v>16</v>
      </c>
      <c r="E136" s="4" t="s">
        <v>226</v>
      </c>
      <c r="F136" s="4" t="s">
        <v>18</v>
      </c>
      <c r="G136" s="4" t="s">
        <v>239</v>
      </c>
      <c r="H136" s="4" t="s">
        <v>26</v>
      </c>
      <c r="I136" s="4" t="s">
        <v>240</v>
      </c>
      <c r="J136" s="10">
        <v>1</v>
      </c>
      <c r="K136" s="4" t="s">
        <v>18</v>
      </c>
      <c r="L136" s="4" t="s">
        <v>22</v>
      </c>
      <c r="M136" s="4" t="s">
        <v>23</v>
      </c>
      <c r="N136" s="5" t="str">
        <f t="shared" si="2"/>
        <v>RJ</v>
      </c>
    </row>
    <row r="137" spans="1:14" x14ac:dyDescent="0.25">
      <c r="A137" s="4" t="s">
        <v>13</v>
      </c>
      <c r="B137" s="4" t="s">
        <v>14</v>
      </c>
      <c r="C137" s="4" t="s">
        <v>241</v>
      </c>
      <c r="D137" s="4" t="s">
        <v>16</v>
      </c>
      <c r="E137" s="4" t="s">
        <v>226</v>
      </c>
      <c r="F137" s="4" t="s">
        <v>18</v>
      </c>
      <c r="G137" s="4" t="s">
        <v>70</v>
      </c>
      <c r="H137" s="4" t="s">
        <v>26</v>
      </c>
      <c r="I137" s="4" t="s">
        <v>242</v>
      </c>
      <c r="J137" s="10">
        <v>1</v>
      </c>
      <c r="K137" s="4" t="s">
        <v>18</v>
      </c>
      <c r="L137" s="4" t="s">
        <v>22</v>
      </c>
      <c r="M137" s="4" t="s">
        <v>23</v>
      </c>
      <c r="N137" s="5" t="str">
        <f t="shared" si="2"/>
        <v>RJ</v>
      </c>
    </row>
    <row r="138" spans="1:14" x14ac:dyDescent="0.25">
      <c r="A138" s="4" t="s">
        <v>13</v>
      </c>
      <c r="B138" s="4" t="s">
        <v>14</v>
      </c>
      <c r="C138" s="4" t="s">
        <v>243</v>
      </c>
      <c r="D138" s="4" t="s">
        <v>16</v>
      </c>
      <c r="E138" s="4" t="s">
        <v>226</v>
      </c>
      <c r="F138" s="4" t="s">
        <v>18</v>
      </c>
      <c r="G138" s="4" t="s">
        <v>70</v>
      </c>
      <c r="H138" s="4" t="s">
        <v>26</v>
      </c>
      <c r="I138" s="4" t="s">
        <v>244</v>
      </c>
      <c r="J138" s="10">
        <v>1</v>
      </c>
      <c r="K138" s="4" t="s">
        <v>18</v>
      </c>
      <c r="L138" s="4" t="s">
        <v>22</v>
      </c>
      <c r="M138" s="4" t="s">
        <v>23</v>
      </c>
      <c r="N138" s="5" t="str">
        <f t="shared" si="2"/>
        <v>RJ</v>
      </c>
    </row>
    <row r="139" spans="1:14" x14ac:dyDescent="0.25">
      <c r="A139" s="4" t="s">
        <v>13</v>
      </c>
      <c r="B139" s="4" t="s">
        <v>14</v>
      </c>
      <c r="C139" s="4" t="s">
        <v>245</v>
      </c>
      <c r="D139" s="4" t="s">
        <v>16</v>
      </c>
      <c r="E139" s="4" t="s">
        <v>226</v>
      </c>
      <c r="F139" s="4" t="s">
        <v>18</v>
      </c>
      <c r="G139" s="4" t="s">
        <v>73</v>
      </c>
      <c r="H139" s="4" t="s">
        <v>26</v>
      </c>
      <c r="I139" s="4" t="s">
        <v>246</v>
      </c>
      <c r="J139" s="10">
        <v>1</v>
      </c>
      <c r="K139" s="4" t="s">
        <v>18</v>
      </c>
      <c r="L139" s="4" t="s">
        <v>22</v>
      </c>
      <c r="M139" s="4" t="s">
        <v>23</v>
      </c>
      <c r="N139" s="5" t="str">
        <f t="shared" si="2"/>
        <v>RJ</v>
      </c>
    </row>
    <row r="140" spans="1:14" x14ac:dyDescent="0.25">
      <c r="A140" s="4" t="s">
        <v>13</v>
      </c>
      <c r="B140" s="4" t="s">
        <v>14</v>
      </c>
      <c r="C140" s="4" t="s">
        <v>247</v>
      </c>
      <c r="D140" s="4" t="s">
        <v>16</v>
      </c>
      <c r="E140" s="4" t="s">
        <v>226</v>
      </c>
      <c r="F140" s="4" t="s">
        <v>18</v>
      </c>
      <c r="G140" s="4" t="s">
        <v>73</v>
      </c>
      <c r="H140" s="4" t="s">
        <v>20</v>
      </c>
      <c r="I140" s="4" t="s">
        <v>248</v>
      </c>
      <c r="J140" s="10">
        <v>1</v>
      </c>
      <c r="K140" s="4" t="s">
        <v>18</v>
      </c>
      <c r="L140" s="4" t="s">
        <v>22</v>
      </c>
      <c r="M140" s="4" t="s">
        <v>23</v>
      </c>
      <c r="N140" s="5" t="str">
        <f t="shared" si="2"/>
        <v>RJ</v>
      </c>
    </row>
    <row r="141" spans="1:14" x14ac:dyDescent="0.25">
      <c r="A141" s="4" t="s">
        <v>13</v>
      </c>
      <c r="B141" s="4" t="s">
        <v>14</v>
      </c>
      <c r="C141" s="4" t="s">
        <v>249</v>
      </c>
      <c r="D141" s="4" t="s">
        <v>16</v>
      </c>
      <c r="E141" s="4" t="s">
        <v>226</v>
      </c>
      <c r="F141" s="4" t="s">
        <v>18</v>
      </c>
      <c r="G141" s="4" t="s">
        <v>73</v>
      </c>
      <c r="H141" s="4" t="s">
        <v>20</v>
      </c>
      <c r="I141" s="4" t="s">
        <v>250</v>
      </c>
      <c r="J141" s="10">
        <v>1</v>
      </c>
      <c r="K141" s="4" t="s">
        <v>18</v>
      </c>
      <c r="L141" s="4" t="s">
        <v>22</v>
      </c>
      <c r="M141" s="4" t="s">
        <v>23</v>
      </c>
      <c r="N141" s="5" t="str">
        <f t="shared" si="2"/>
        <v>RJ</v>
      </c>
    </row>
    <row r="142" spans="1:14" x14ac:dyDescent="0.25">
      <c r="A142" s="4" t="s">
        <v>13</v>
      </c>
      <c r="B142" s="4" t="s">
        <v>14</v>
      </c>
      <c r="C142" s="4" t="s">
        <v>251</v>
      </c>
      <c r="D142" s="4" t="s">
        <v>16</v>
      </c>
      <c r="E142" s="4" t="s">
        <v>226</v>
      </c>
      <c r="F142" s="4" t="s">
        <v>18</v>
      </c>
      <c r="G142" s="4" t="s">
        <v>87</v>
      </c>
      <c r="H142" s="4" t="s">
        <v>252</v>
      </c>
      <c r="I142" s="4" t="s">
        <v>253</v>
      </c>
      <c r="J142" s="10">
        <v>1</v>
      </c>
      <c r="K142" s="4" t="s">
        <v>18</v>
      </c>
      <c r="L142" s="4" t="s">
        <v>22</v>
      </c>
      <c r="M142" s="4" t="s">
        <v>23</v>
      </c>
      <c r="N142" s="5" t="str">
        <f t="shared" si="2"/>
        <v>RJ</v>
      </c>
    </row>
    <row r="143" spans="1:14" x14ac:dyDescent="0.25">
      <c r="A143" s="4" t="s">
        <v>13</v>
      </c>
      <c r="B143" s="4" t="s">
        <v>14</v>
      </c>
      <c r="C143" s="4" t="s">
        <v>254</v>
      </c>
      <c r="D143" s="4" t="s">
        <v>16</v>
      </c>
      <c r="E143" s="4" t="s">
        <v>226</v>
      </c>
      <c r="F143" s="4" t="s">
        <v>18</v>
      </c>
      <c r="G143" s="4" t="s">
        <v>255</v>
      </c>
      <c r="H143" s="4" t="s">
        <v>20</v>
      </c>
      <c r="I143" s="4" t="s">
        <v>256</v>
      </c>
      <c r="J143" s="10">
        <v>1</v>
      </c>
      <c r="K143" s="4" t="s">
        <v>18</v>
      </c>
      <c r="L143" s="4" t="s">
        <v>22</v>
      </c>
      <c r="M143" s="4" t="s">
        <v>23</v>
      </c>
      <c r="N143" s="5" t="str">
        <f t="shared" si="2"/>
        <v>RJ</v>
      </c>
    </row>
    <row r="144" spans="1:14" x14ac:dyDescent="0.25">
      <c r="A144" s="4" t="s">
        <v>13</v>
      </c>
      <c r="B144" s="4" t="s">
        <v>14</v>
      </c>
      <c r="C144" s="4" t="s">
        <v>257</v>
      </c>
      <c r="D144" s="4" t="s">
        <v>16</v>
      </c>
      <c r="E144" s="4" t="s">
        <v>226</v>
      </c>
      <c r="F144" s="4" t="s">
        <v>18</v>
      </c>
      <c r="G144" s="4" t="s">
        <v>258</v>
      </c>
      <c r="H144" s="4" t="s">
        <v>26</v>
      </c>
      <c r="I144" s="4" t="s">
        <v>259</v>
      </c>
      <c r="J144" s="10">
        <v>1</v>
      </c>
      <c r="K144" s="4" t="s">
        <v>18</v>
      </c>
      <c r="L144" s="4" t="s">
        <v>22</v>
      </c>
      <c r="M144" s="4" t="s">
        <v>23</v>
      </c>
      <c r="N144" s="5" t="str">
        <f t="shared" si="2"/>
        <v>RJ</v>
      </c>
    </row>
    <row r="145" spans="1:14" x14ac:dyDescent="0.25">
      <c r="A145" s="4" t="s">
        <v>13</v>
      </c>
      <c r="B145" s="4" t="s">
        <v>14</v>
      </c>
      <c r="C145" s="4" t="s">
        <v>260</v>
      </c>
      <c r="D145" s="4" t="s">
        <v>16</v>
      </c>
      <c r="E145" s="4" t="s">
        <v>226</v>
      </c>
      <c r="F145" s="4" t="s">
        <v>18</v>
      </c>
      <c r="G145" s="4" t="s">
        <v>136</v>
      </c>
      <c r="H145" s="4" t="s">
        <v>26</v>
      </c>
      <c r="I145" s="4" t="s">
        <v>261</v>
      </c>
      <c r="J145" s="10">
        <v>1</v>
      </c>
      <c r="K145" s="4" t="s">
        <v>18</v>
      </c>
      <c r="L145" s="4" t="s">
        <v>22</v>
      </c>
      <c r="M145" s="4" t="s">
        <v>23</v>
      </c>
      <c r="N145" s="5" t="str">
        <f t="shared" si="2"/>
        <v>RJ</v>
      </c>
    </row>
    <row r="146" spans="1:14" x14ac:dyDescent="0.25">
      <c r="A146" s="4" t="s">
        <v>13</v>
      </c>
      <c r="B146" s="4" t="s">
        <v>14</v>
      </c>
      <c r="C146" s="4" t="s">
        <v>262</v>
      </c>
      <c r="D146" s="4" t="s">
        <v>16</v>
      </c>
      <c r="E146" s="4" t="s">
        <v>226</v>
      </c>
      <c r="F146" s="4" t="s">
        <v>18</v>
      </c>
      <c r="G146" s="4" t="s">
        <v>145</v>
      </c>
      <c r="H146" s="4" t="s">
        <v>26</v>
      </c>
      <c r="I146" s="4" t="s">
        <v>263</v>
      </c>
      <c r="J146" s="10">
        <v>1</v>
      </c>
      <c r="K146" s="4" t="s">
        <v>18</v>
      </c>
      <c r="L146" s="4" t="s">
        <v>22</v>
      </c>
      <c r="M146" s="4" t="s">
        <v>23</v>
      </c>
      <c r="N146" s="5" t="str">
        <f t="shared" si="2"/>
        <v>RJ</v>
      </c>
    </row>
    <row r="147" spans="1:14" x14ac:dyDescent="0.25">
      <c r="A147" s="4" t="s">
        <v>13</v>
      </c>
      <c r="B147" s="4" t="s">
        <v>14</v>
      </c>
      <c r="C147" s="4" t="s">
        <v>264</v>
      </c>
      <c r="D147" s="4" t="s">
        <v>16</v>
      </c>
      <c r="E147" s="4" t="s">
        <v>226</v>
      </c>
      <c r="F147" s="4" t="s">
        <v>18</v>
      </c>
      <c r="G147" s="4" t="s">
        <v>148</v>
      </c>
      <c r="H147" s="4" t="s">
        <v>211</v>
      </c>
      <c r="I147" s="4" t="s">
        <v>265</v>
      </c>
      <c r="J147" s="10">
        <v>1</v>
      </c>
      <c r="K147" s="4" t="s">
        <v>18</v>
      </c>
      <c r="L147" s="4" t="s">
        <v>22</v>
      </c>
      <c r="M147" s="4" t="s">
        <v>23</v>
      </c>
      <c r="N147" s="5" t="str">
        <f t="shared" si="2"/>
        <v>RJ</v>
      </c>
    </row>
    <row r="148" spans="1:14" x14ac:dyDescent="0.25">
      <c r="A148" s="4" t="s">
        <v>13</v>
      </c>
      <c r="B148" s="4" t="s">
        <v>14</v>
      </c>
      <c r="C148" s="4" t="s">
        <v>266</v>
      </c>
      <c r="D148" s="4" t="s">
        <v>16</v>
      </c>
      <c r="E148" s="4" t="s">
        <v>226</v>
      </c>
      <c r="F148" s="4" t="s">
        <v>18</v>
      </c>
      <c r="G148" s="4" t="s">
        <v>164</v>
      </c>
      <c r="H148" s="4" t="s">
        <v>26</v>
      </c>
      <c r="I148" s="4" t="s">
        <v>267</v>
      </c>
      <c r="J148" s="10">
        <v>1</v>
      </c>
      <c r="K148" s="4" t="s">
        <v>18</v>
      </c>
      <c r="L148" s="4" t="s">
        <v>22</v>
      </c>
      <c r="M148" s="4" t="s">
        <v>23</v>
      </c>
      <c r="N148" s="5" t="str">
        <f t="shared" si="2"/>
        <v>RJ</v>
      </c>
    </row>
    <row r="149" spans="1:14" x14ac:dyDescent="0.25">
      <c r="A149" s="4" t="s">
        <v>13</v>
      </c>
      <c r="B149" s="4" t="s">
        <v>14</v>
      </c>
      <c r="C149" s="4" t="s">
        <v>268</v>
      </c>
      <c r="D149" s="4" t="s">
        <v>16</v>
      </c>
      <c r="E149" s="4" t="s">
        <v>226</v>
      </c>
      <c r="F149" s="4" t="s">
        <v>18</v>
      </c>
      <c r="G149" s="4" t="s">
        <v>269</v>
      </c>
      <c r="H149" s="4" t="s">
        <v>20</v>
      </c>
      <c r="I149" s="4" t="s">
        <v>270</v>
      </c>
      <c r="J149" s="10">
        <v>1</v>
      </c>
      <c r="K149" s="4" t="s">
        <v>18</v>
      </c>
      <c r="L149" s="4" t="s">
        <v>22</v>
      </c>
      <c r="M149" s="4" t="s">
        <v>23</v>
      </c>
      <c r="N149" s="5" t="str">
        <f t="shared" si="2"/>
        <v>RJ</v>
      </c>
    </row>
    <row r="150" spans="1:14" x14ac:dyDescent="0.25">
      <c r="A150" s="4" t="s">
        <v>13</v>
      </c>
      <c r="B150" s="4" t="s">
        <v>14</v>
      </c>
      <c r="C150" s="4" t="s">
        <v>271</v>
      </c>
      <c r="D150" s="4" t="s">
        <v>16</v>
      </c>
      <c r="E150" s="4" t="s">
        <v>226</v>
      </c>
      <c r="F150" s="4" t="s">
        <v>18</v>
      </c>
      <c r="G150" s="4" t="s">
        <v>210</v>
      </c>
      <c r="H150" s="4" t="s">
        <v>272</v>
      </c>
      <c r="I150" s="4" t="s">
        <v>273</v>
      </c>
      <c r="J150" s="10">
        <v>1</v>
      </c>
      <c r="K150" s="4" t="s">
        <v>18</v>
      </c>
      <c r="L150" s="4" t="s">
        <v>22</v>
      </c>
      <c r="M150" s="4" t="s">
        <v>23</v>
      </c>
      <c r="N150" s="5" t="str">
        <f t="shared" si="2"/>
        <v>RJ</v>
      </c>
    </row>
    <row r="151" spans="1:14" x14ac:dyDescent="0.25">
      <c r="A151" s="4" t="s">
        <v>13</v>
      </c>
      <c r="B151" s="4" t="s">
        <v>14</v>
      </c>
      <c r="C151" s="4" t="s">
        <v>274</v>
      </c>
      <c r="D151" s="4" t="s">
        <v>16</v>
      </c>
      <c r="E151" s="4" t="s">
        <v>226</v>
      </c>
      <c r="F151" s="4" t="s">
        <v>18</v>
      </c>
      <c r="G151" s="4" t="s">
        <v>210</v>
      </c>
      <c r="H151" s="4" t="s">
        <v>26</v>
      </c>
      <c r="I151" s="4" t="s">
        <v>275</v>
      </c>
      <c r="J151" s="10">
        <v>1</v>
      </c>
      <c r="K151" s="4" t="s">
        <v>18</v>
      </c>
      <c r="L151" s="4" t="s">
        <v>22</v>
      </c>
      <c r="M151" s="4" t="s">
        <v>23</v>
      </c>
      <c r="N151" s="5" t="str">
        <f t="shared" si="2"/>
        <v>RJ</v>
      </c>
    </row>
    <row r="152" spans="1:14" x14ac:dyDescent="0.25">
      <c r="A152" s="4" t="s">
        <v>13</v>
      </c>
      <c r="B152" s="4" t="s">
        <v>14</v>
      </c>
      <c r="C152" s="4" t="s">
        <v>276</v>
      </c>
      <c r="D152" s="4" t="s">
        <v>16</v>
      </c>
      <c r="E152" s="4" t="s">
        <v>226</v>
      </c>
      <c r="F152" s="4" t="s">
        <v>18</v>
      </c>
      <c r="G152" s="4" t="s">
        <v>221</v>
      </c>
      <c r="H152" s="4" t="s">
        <v>26</v>
      </c>
      <c r="I152" s="4" t="s">
        <v>277</v>
      </c>
      <c r="J152" s="10">
        <v>1</v>
      </c>
      <c r="K152" s="4" t="s">
        <v>18</v>
      </c>
      <c r="L152" s="4" t="s">
        <v>22</v>
      </c>
      <c r="M152" s="4" t="s">
        <v>23</v>
      </c>
      <c r="N152" s="5" t="str">
        <f t="shared" si="2"/>
        <v>RJ</v>
      </c>
    </row>
    <row r="153" spans="1:14" x14ac:dyDescent="0.25">
      <c r="A153" s="4" t="s">
        <v>13</v>
      </c>
      <c r="B153" s="4" t="s">
        <v>14</v>
      </c>
      <c r="C153" s="4" t="s">
        <v>278</v>
      </c>
      <c r="D153" s="4" t="s">
        <v>16</v>
      </c>
      <c r="E153" s="4" t="s">
        <v>226</v>
      </c>
      <c r="F153" s="4" t="s">
        <v>18</v>
      </c>
      <c r="G153" s="4" t="s">
        <v>221</v>
      </c>
      <c r="H153" s="4" t="s">
        <v>26</v>
      </c>
      <c r="I153" s="4" t="s">
        <v>279</v>
      </c>
      <c r="J153" s="10">
        <v>1</v>
      </c>
      <c r="K153" s="4" t="s">
        <v>18</v>
      </c>
      <c r="L153" s="4" t="s">
        <v>22</v>
      </c>
      <c r="M153" s="4" t="s">
        <v>23</v>
      </c>
      <c r="N153" s="5" t="str">
        <f t="shared" si="2"/>
        <v>RJ</v>
      </c>
    </row>
    <row r="154" spans="1:14" x14ac:dyDescent="0.25">
      <c r="A154" s="7" t="s">
        <v>401</v>
      </c>
      <c r="B154" s="6" t="s">
        <v>402</v>
      </c>
      <c r="C154" s="6" t="s">
        <v>403</v>
      </c>
      <c r="D154" s="6" t="s">
        <v>16</v>
      </c>
      <c r="E154" s="6" t="s">
        <v>17</v>
      </c>
      <c r="F154" s="6" t="s">
        <v>18</v>
      </c>
      <c r="G154" s="6" t="s">
        <v>404</v>
      </c>
      <c r="H154" s="6" t="s">
        <v>272</v>
      </c>
      <c r="I154" s="6" t="s">
        <v>405</v>
      </c>
      <c r="J154" s="10">
        <v>1</v>
      </c>
      <c r="K154" s="6" t="s">
        <v>18</v>
      </c>
      <c r="L154" s="6" t="s">
        <v>22</v>
      </c>
      <c r="M154" s="8" t="s">
        <v>23</v>
      </c>
      <c r="N154" s="5" t="str">
        <f t="shared" si="2"/>
        <v>SP</v>
      </c>
    </row>
    <row r="155" spans="1:14" x14ac:dyDescent="0.25">
      <c r="A155" s="7" t="s">
        <v>401</v>
      </c>
      <c r="B155" s="6" t="s">
        <v>402</v>
      </c>
      <c r="C155" s="6" t="s">
        <v>406</v>
      </c>
      <c r="D155" s="6" t="s">
        <v>16</v>
      </c>
      <c r="E155" s="6" t="s">
        <v>17</v>
      </c>
      <c r="F155" s="6" t="s">
        <v>18</v>
      </c>
      <c r="G155" s="6" t="s">
        <v>407</v>
      </c>
      <c r="H155" s="6" t="s">
        <v>408</v>
      </c>
      <c r="I155" s="6" t="s">
        <v>409</v>
      </c>
      <c r="J155" s="10">
        <v>1</v>
      </c>
      <c r="K155" s="6" t="s">
        <v>18</v>
      </c>
      <c r="L155" s="6" t="s">
        <v>22</v>
      </c>
      <c r="M155" s="8" t="s">
        <v>23</v>
      </c>
      <c r="N155" s="5" t="str">
        <f t="shared" si="2"/>
        <v>SP</v>
      </c>
    </row>
    <row r="156" spans="1:14" x14ac:dyDescent="0.25">
      <c r="A156" s="7" t="s">
        <v>401</v>
      </c>
      <c r="B156" s="6" t="s">
        <v>402</v>
      </c>
      <c r="C156" s="6" t="s">
        <v>410</v>
      </c>
      <c r="D156" s="6" t="s">
        <v>16</v>
      </c>
      <c r="E156" s="6" t="s">
        <v>17</v>
      </c>
      <c r="F156" s="6" t="s">
        <v>18</v>
      </c>
      <c r="G156" s="6" t="s">
        <v>411</v>
      </c>
      <c r="H156" s="6" t="s">
        <v>272</v>
      </c>
      <c r="I156" s="6" t="s">
        <v>412</v>
      </c>
      <c r="J156" s="10">
        <v>1</v>
      </c>
      <c r="K156" s="6" t="s">
        <v>18</v>
      </c>
      <c r="L156" s="6" t="s">
        <v>22</v>
      </c>
      <c r="M156" s="8" t="s">
        <v>23</v>
      </c>
      <c r="N156" s="5" t="str">
        <f t="shared" si="2"/>
        <v>SP</v>
      </c>
    </row>
    <row r="157" spans="1:14" x14ac:dyDescent="0.25">
      <c r="A157" s="7" t="s">
        <v>401</v>
      </c>
      <c r="B157" s="6" t="s">
        <v>402</v>
      </c>
      <c r="C157" s="6" t="s">
        <v>413</v>
      </c>
      <c r="D157" s="6" t="s">
        <v>16</v>
      </c>
      <c r="E157" s="6" t="s">
        <v>17</v>
      </c>
      <c r="F157" s="6" t="s">
        <v>18</v>
      </c>
      <c r="G157" s="6" t="s">
        <v>414</v>
      </c>
      <c r="H157" s="6" t="s">
        <v>415</v>
      </c>
      <c r="I157" s="6" t="s">
        <v>416</v>
      </c>
      <c r="J157" s="10">
        <v>1</v>
      </c>
      <c r="K157" s="6" t="s">
        <v>18</v>
      </c>
      <c r="L157" s="6" t="s">
        <v>22</v>
      </c>
      <c r="M157" s="8" t="s">
        <v>23</v>
      </c>
      <c r="N157" s="5" t="str">
        <f t="shared" si="2"/>
        <v>SP</v>
      </c>
    </row>
    <row r="158" spans="1:14" x14ac:dyDescent="0.25">
      <c r="A158" s="7" t="s">
        <v>401</v>
      </c>
      <c r="B158" s="6" t="s">
        <v>402</v>
      </c>
      <c r="C158" s="6" t="s">
        <v>417</v>
      </c>
      <c r="D158" s="6" t="s">
        <v>16</v>
      </c>
      <c r="E158" s="6" t="s">
        <v>17</v>
      </c>
      <c r="F158" s="6" t="s">
        <v>18</v>
      </c>
      <c r="G158" s="6" t="s">
        <v>418</v>
      </c>
      <c r="H158" s="6" t="s">
        <v>272</v>
      </c>
      <c r="I158" s="6" t="s">
        <v>419</v>
      </c>
      <c r="J158" s="10">
        <v>1</v>
      </c>
      <c r="K158" s="6" t="s">
        <v>18</v>
      </c>
      <c r="L158" s="6" t="s">
        <v>22</v>
      </c>
      <c r="M158" s="8" t="s">
        <v>23</v>
      </c>
      <c r="N158" s="5" t="str">
        <f t="shared" si="2"/>
        <v>SP</v>
      </c>
    </row>
    <row r="159" spans="1:14" x14ac:dyDescent="0.25">
      <c r="A159" s="7" t="s">
        <v>401</v>
      </c>
      <c r="B159" s="6" t="s">
        <v>402</v>
      </c>
      <c r="C159" s="6" t="s">
        <v>420</v>
      </c>
      <c r="D159" s="6" t="s">
        <v>16</v>
      </c>
      <c r="E159" s="6" t="s">
        <v>17</v>
      </c>
      <c r="F159" s="6" t="s">
        <v>18</v>
      </c>
      <c r="G159" s="6" t="s">
        <v>418</v>
      </c>
      <c r="H159" s="6" t="s">
        <v>272</v>
      </c>
      <c r="I159" s="6" t="s">
        <v>421</v>
      </c>
      <c r="J159" s="10">
        <v>1</v>
      </c>
      <c r="K159" s="6" t="s">
        <v>18</v>
      </c>
      <c r="L159" s="6" t="s">
        <v>22</v>
      </c>
      <c r="M159" s="8" t="s">
        <v>23</v>
      </c>
      <c r="N159" s="5" t="str">
        <f t="shared" si="2"/>
        <v>SP</v>
      </c>
    </row>
    <row r="160" spans="1:14" x14ac:dyDescent="0.25">
      <c r="A160" s="7" t="s">
        <v>401</v>
      </c>
      <c r="B160" s="6" t="s">
        <v>402</v>
      </c>
      <c r="C160" s="6" t="s">
        <v>422</v>
      </c>
      <c r="D160" s="6" t="s">
        <v>16</v>
      </c>
      <c r="E160" s="6" t="s">
        <v>17</v>
      </c>
      <c r="F160" s="6" t="s">
        <v>18</v>
      </c>
      <c r="G160" s="6" t="s">
        <v>423</v>
      </c>
      <c r="H160" s="6" t="s">
        <v>101</v>
      </c>
      <c r="I160" s="6" t="s">
        <v>424</v>
      </c>
      <c r="J160" s="10">
        <v>1</v>
      </c>
      <c r="K160" s="6" t="s">
        <v>18</v>
      </c>
      <c r="L160" s="6" t="s">
        <v>22</v>
      </c>
      <c r="M160" s="8" t="s">
        <v>23</v>
      </c>
      <c r="N160" s="5" t="str">
        <f t="shared" si="2"/>
        <v>SP</v>
      </c>
    </row>
    <row r="161" spans="1:14" x14ac:dyDescent="0.25">
      <c r="A161" s="7" t="s">
        <v>401</v>
      </c>
      <c r="B161" s="6" t="s">
        <v>402</v>
      </c>
      <c r="C161" s="6" t="s">
        <v>425</v>
      </c>
      <c r="D161" s="6" t="s">
        <v>16</v>
      </c>
      <c r="E161" s="6" t="s">
        <v>17</v>
      </c>
      <c r="F161" s="6" t="s">
        <v>18</v>
      </c>
      <c r="G161" s="6" t="s">
        <v>426</v>
      </c>
      <c r="H161" s="6" t="s">
        <v>427</v>
      </c>
      <c r="I161" s="6" t="s">
        <v>428</v>
      </c>
      <c r="J161" s="10">
        <v>1</v>
      </c>
      <c r="K161" s="6" t="s">
        <v>18</v>
      </c>
      <c r="L161" s="6" t="s">
        <v>22</v>
      </c>
      <c r="M161" s="8" t="s">
        <v>23</v>
      </c>
      <c r="N161" s="5" t="str">
        <f t="shared" si="2"/>
        <v>SP</v>
      </c>
    </row>
    <row r="162" spans="1:14" x14ac:dyDescent="0.25">
      <c r="A162" s="7" t="s">
        <v>401</v>
      </c>
      <c r="B162" s="6" t="s">
        <v>402</v>
      </c>
      <c r="C162" s="6" t="s">
        <v>429</v>
      </c>
      <c r="D162" s="6" t="s">
        <v>16</v>
      </c>
      <c r="E162" s="6" t="s">
        <v>17</v>
      </c>
      <c r="F162" s="6" t="s">
        <v>18</v>
      </c>
      <c r="G162" s="6" t="s">
        <v>430</v>
      </c>
      <c r="H162" s="6" t="s">
        <v>20</v>
      </c>
      <c r="I162" s="6" t="s">
        <v>431</v>
      </c>
      <c r="J162" s="10">
        <v>1</v>
      </c>
      <c r="K162" s="6" t="s">
        <v>18</v>
      </c>
      <c r="L162" s="6" t="s">
        <v>22</v>
      </c>
      <c r="M162" s="8" t="s">
        <v>23</v>
      </c>
      <c r="N162" s="5" t="str">
        <f t="shared" si="2"/>
        <v>SP</v>
      </c>
    </row>
    <row r="163" spans="1:14" x14ac:dyDescent="0.25">
      <c r="A163" s="7" t="s">
        <v>401</v>
      </c>
      <c r="B163" s="6" t="s">
        <v>402</v>
      </c>
      <c r="C163" s="6" t="s">
        <v>432</v>
      </c>
      <c r="D163" s="6" t="s">
        <v>16</v>
      </c>
      <c r="E163" s="6" t="s">
        <v>17</v>
      </c>
      <c r="F163" s="6" t="s">
        <v>18</v>
      </c>
      <c r="G163" s="6" t="s">
        <v>433</v>
      </c>
      <c r="H163" s="6" t="s">
        <v>415</v>
      </c>
      <c r="I163" s="6" t="s">
        <v>434</v>
      </c>
      <c r="J163" s="10">
        <v>1</v>
      </c>
      <c r="K163" s="6" t="s">
        <v>18</v>
      </c>
      <c r="L163" s="6" t="s">
        <v>22</v>
      </c>
      <c r="M163" s="8" t="s">
        <v>23</v>
      </c>
      <c r="N163" s="5" t="str">
        <f t="shared" si="2"/>
        <v>SP</v>
      </c>
    </row>
    <row r="164" spans="1:14" x14ac:dyDescent="0.25">
      <c r="A164" s="7" t="s">
        <v>401</v>
      </c>
      <c r="B164" s="6" t="s">
        <v>402</v>
      </c>
      <c r="C164" s="6" t="s">
        <v>435</v>
      </c>
      <c r="D164" s="6" t="s">
        <v>16</v>
      </c>
      <c r="E164" s="6" t="s">
        <v>17</v>
      </c>
      <c r="F164" s="6" t="s">
        <v>18</v>
      </c>
      <c r="G164" s="6" t="s">
        <v>436</v>
      </c>
      <c r="H164" s="6" t="s">
        <v>408</v>
      </c>
      <c r="I164" s="6" t="s">
        <v>437</v>
      </c>
      <c r="J164" s="10">
        <v>1</v>
      </c>
      <c r="K164" s="6" t="s">
        <v>18</v>
      </c>
      <c r="L164" s="6" t="s">
        <v>22</v>
      </c>
      <c r="M164" s="8" t="s">
        <v>23</v>
      </c>
      <c r="N164" s="5" t="str">
        <f t="shared" si="2"/>
        <v>SP</v>
      </c>
    </row>
    <row r="165" spans="1:14" x14ac:dyDescent="0.25">
      <c r="A165" s="7" t="s">
        <v>401</v>
      </c>
      <c r="B165" s="6" t="s">
        <v>402</v>
      </c>
      <c r="C165" s="6" t="s">
        <v>438</v>
      </c>
      <c r="D165" s="6" t="s">
        <v>16</v>
      </c>
      <c r="E165" s="6" t="s">
        <v>17</v>
      </c>
      <c r="F165" s="6" t="s">
        <v>18</v>
      </c>
      <c r="G165" s="6" t="s">
        <v>439</v>
      </c>
      <c r="H165" s="6" t="s">
        <v>408</v>
      </c>
      <c r="I165" s="6" t="s">
        <v>440</v>
      </c>
      <c r="J165" s="10">
        <v>1</v>
      </c>
      <c r="K165" s="6" t="s">
        <v>18</v>
      </c>
      <c r="L165" s="6" t="s">
        <v>22</v>
      </c>
      <c r="M165" s="8" t="s">
        <v>23</v>
      </c>
      <c r="N165" s="5" t="str">
        <f t="shared" si="2"/>
        <v>SP</v>
      </c>
    </row>
    <row r="166" spans="1:14" x14ac:dyDescent="0.25">
      <c r="A166" s="7" t="s">
        <v>401</v>
      </c>
      <c r="B166" s="6" t="s">
        <v>402</v>
      </c>
      <c r="C166" s="6" t="s">
        <v>441</v>
      </c>
      <c r="D166" s="6" t="s">
        <v>16</v>
      </c>
      <c r="E166" s="6" t="s">
        <v>17</v>
      </c>
      <c r="F166" s="6" t="s">
        <v>18</v>
      </c>
      <c r="G166" s="6" t="s">
        <v>442</v>
      </c>
      <c r="H166" s="6" t="s">
        <v>443</v>
      </c>
      <c r="I166" s="6" t="s">
        <v>444</v>
      </c>
      <c r="J166" s="10">
        <v>1</v>
      </c>
      <c r="K166" s="6" t="s">
        <v>18</v>
      </c>
      <c r="L166" s="6" t="s">
        <v>22</v>
      </c>
      <c r="M166" s="8" t="s">
        <v>23</v>
      </c>
      <c r="N166" s="5" t="str">
        <f t="shared" si="2"/>
        <v>SP</v>
      </c>
    </row>
    <row r="167" spans="1:14" x14ac:dyDescent="0.25">
      <c r="A167" s="7" t="s">
        <v>401</v>
      </c>
      <c r="B167" s="6" t="s">
        <v>402</v>
      </c>
      <c r="C167" s="6" t="s">
        <v>445</v>
      </c>
      <c r="D167" s="6" t="s">
        <v>16</v>
      </c>
      <c r="E167" s="6" t="s">
        <v>17</v>
      </c>
      <c r="F167" s="6" t="s">
        <v>18</v>
      </c>
      <c r="G167" s="6" t="s">
        <v>446</v>
      </c>
      <c r="H167" s="6" t="s">
        <v>272</v>
      </c>
      <c r="I167" s="6" t="s">
        <v>447</v>
      </c>
      <c r="J167" s="10">
        <v>1</v>
      </c>
      <c r="K167" s="6" t="s">
        <v>18</v>
      </c>
      <c r="L167" s="6" t="s">
        <v>22</v>
      </c>
      <c r="M167" s="8" t="s">
        <v>23</v>
      </c>
      <c r="N167" s="5" t="str">
        <f t="shared" si="2"/>
        <v>SP</v>
      </c>
    </row>
    <row r="168" spans="1:14" x14ac:dyDescent="0.25">
      <c r="A168" s="7" t="s">
        <v>401</v>
      </c>
      <c r="B168" s="6" t="s">
        <v>402</v>
      </c>
      <c r="C168" s="6" t="s">
        <v>448</v>
      </c>
      <c r="D168" s="6" t="s">
        <v>16</v>
      </c>
      <c r="E168" s="6" t="s">
        <v>17</v>
      </c>
      <c r="F168" s="6" t="s">
        <v>18</v>
      </c>
      <c r="G168" s="6" t="s">
        <v>449</v>
      </c>
      <c r="H168" s="6" t="s">
        <v>272</v>
      </c>
      <c r="I168" s="6" t="s">
        <v>450</v>
      </c>
      <c r="J168" s="10">
        <v>1</v>
      </c>
      <c r="K168" s="6" t="s">
        <v>18</v>
      </c>
      <c r="L168" s="6" t="s">
        <v>22</v>
      </c>
      <c r="M168" s="8" t="s">
        <v>23</v>
      </c>
      <c r="N168" s="5" t="str">
        <f t="shared" si="2"/>
        <v>SP</v>
      </c>
    </row>
    <row r="169" spans="1:14" x14ac:dyDescent="0.25">
      <c r="A169" s="7" t="s">
        <v>401</v>
      </c>
      <c r="B169" s="6" t="s">
        <v>402</v>
      </c>
      <c r="C169" s="6" t="s">
        <v>451</v>
      </c>
      <c r="D169" s="6" t="s">
        <v>16</v>
      </c>
      <c r="E169" s="6" t="s">
        <v>17</v>
      </c>
      <c r="F169" s="6" t="s">
        <v>18</v>
      </c>
      <c r="G169" s="6" t="s">
        <v>449</v>
      </c>
      <c r="H169" s="6" t="s">
        <v>272</v>
      </c>
      <c r="I169" s="6" t="s">
        <v>452</v>
      </c>
      <c r="J169" s="10">
        <v>1</v>
      </c>
      <c r="K169" s="6" t="s">
        <v>18</v>
      </c>
      <c r="L169" s="6" t="s">
        <v>22</v>
      </c>
      <c r="M169" s="8" t="s">
        <v>23</v>
      </c>
      <c r="N169" s="5" t="str">
        <f t="shared" si="2"/>
        <v>SP</v>
      </c>
    </row>
    <row r="170" spans="1:14" x14ac:dyDescent="0.25">
      <c r="A170" s="7" t="s">
        <v>401</v>
      </c>
      <c r="B170" s="6" t="s">
        <v>402</v>
      </c>
      <c r="C170" s="6" t="s">
        <v>453</v>
      </c>
      <c r="D170" s="6" t="s">
        <v>16</v>
      </c>
      <c r="E170" s="6" t="s">
        <v>17</v>
      </c>
      <c r="F170" s="6" t="s">
        <v>18</v>
      </c>
      <c r="G170" s="6" t="s">
        <v>454</v>
      </c>
      <c r="H170" s="6" t="s">
        <v>272</v>
      </c>
      <c r="I170" s="6" t="s">
        <v>455</v>
      </c>
      <c r="J170" s="10">
        <v>1</v>
      </c>
      <c r="K170" s="6" t="s">
        <v>18</v>
      </c>
      <c r="L170" s="6" t="s">
        <v>22</v>
      </c>
      <c r="M170" s="8" t="s">
        <v>23</v>
      </c>
      <c r="N170" s="5" t="str">
        <f t="shared" si="2"/>
        <v>SP</v>
      </c>
    </row>
    <row r="171" spans="1:14" x14ac:dyDescent="0.25">
      <c r="A171" s="7" t="s">
        <v>401</v>
      </c>
      <c r="B171" s="6" t="s">
        <v>402</v>
      </c>
      <c r="C171" s="6" t="s">
        <v>456</v>
      </c>
      <c r="D171" s="6" t="s">
        <v>16</v>
      </c>
      <c r="E171" s="6" t="s">
        <v>17</v>
      </c>
      <c r="F171" s="6" t="s">
        <v>18</v>
      </c>
      <c r="G171" s="6" t="s">
        <v>457</v>
      </c>
      <c r="H171" s="6" t="s">
        <v>408</v>
      </c>
      <c r="I171" s="6" t="s">
        <v>458</v>
      </c>
      <c r="J171" s="10">
        <v>1</v>
      </c>
      <c r="K171" s="6" t="s">
        <v>18</v>
      </c>
      <c r="L171" s="6" t="s">
        <v>22</v>
      </c>
      <c r="M171" s="8" t="s">
        <v>23</v>
      </c>
      <c r="N171" s="5" t="str">
        <f t="shared" si="2"/>
        <v>SP</v>
      </c>
    </row>
    <row r="172" spans="1:14" x14ac:dyDescent="0.25">
      <c r="A172" s="7" t="s">
        <v>401</v>
      </c>
      <c r="B172" s="6" t="s">
        <v>402</v>
      </c>
      <c r="C172" s="6" t="s">
        <v>459</v>
      </c>
      <c r="D172" s="6" t="s">
        <v>16</v>
      </c>
      <c r="E172" s="6" t="s">
        <v>17</v>
      </c>
      <c r="F172" s="6" t="s">
        <v>18</v>
      </c>
      <c r="G172" s="6" t="s">
        <v>460</v>
      </c>
      <c r="H172" s="6" t="s">
        <v>415</v>
      </c>
      <c r="I172" s="6" t="s">
        <v>461</v>
      </c>
      <c r="J172" s="10">
        <v>1</v>
      </c>
      <c r="K172" s="6" t="s">
        <v>18</v>
      </c>
      <c r="L172" s="6" t="s">
        <v>22</v>
      </c>
      <c r="M172" s="8" t="s">
        <v>23</v>
      </c>
      <c r="N172" s="5" t="str">
        <f t="shared" si="2"/>
        <v>SP</v>
      </c>
    </row>
    <row r="173" spans="1:14" x14ac:dyDescent="0.25">
      <c r="A173" s="7" t="s">
        <v>401</v>
      </c>
      <c r="B173" s="6" t="s">
        <v>402</v>
      </c>
      <c r="C173" s="6" t="s">
        <v>462</v>
      </c>
      <c r="D173" s="6" t="s">
        <v>16</v>
      </c>
      <c r="E173" s="6" t="s">
        <v>17</v>
      </c>
      <c r="F173" s="6" t="s">
        <v>18</v>
      </c>
      <c r="G173" s="6" t="s">
        <v>463</v>
      </c>
      <c r="H173" s="6" t="s">
        <v>272</v>
      </c>
      <c r="I173" s="6" t="s">
        <v>464</v>
      </c>
      <c r="J173" s="10">
        <v>1</v>
      </c>
      <c r="K173" s="6" t="s">
        <v>18</v>
      </c>
      <c r="L173" s="6" t="s">
        <v>22</v>
      </c>
      <c r="M173" s="8" t="s">
        <v>23</v>
      </c>
      <c r="N173" s="5" t="str">
        <f t="shared" si="2"/>
        <v>SP</v>
      </c>
    </row>
    <row r="174" spans="1:14" x14ac:dyDescent="0.25">
      <c r="A174" s="7" t="s">
        <v>401</v>
      </c>
      <c r="B174" s="6" t="s">
        <v>402</v>
      </c>
      <c r="C174" s="6" t="s">
        <v>465</v>
      </c>
      <c r="D174" s="6" t="s">
        <v>16</v>
      </c>
      <c r="E174" s="6" t="s">
        <v>17</v>
      </c>
      <c r="F174" s="6" t="s">
        <v>18</v>
      </c>
      <c r="G174" s="6" t="s">
        <v>466</v>
      </c>
      <c r="H174" s="6" t="s">
        <v>30</v>
      </c>
      <c r="I174" s="6" t="s">
        <v>467</v>
      </c>
      <c r="J174" s="10">
        <v>1</v>
      </c>
      <c r="K174" s="6" t="s">
        <v>18</v>
      </c>
      <c r="L174" s="6" t="s">
        <v>22</v>
      </c>
      <c r="M174" s="8" t="s">
        <v>23</v>
      </c>
      <c r="N174" s="5" t="str">
        <f t="shared" si="2"/>
        <v>SP</v>
      </c>
    </row>
    <row r="175" spans="1:14" x14ac:dyDescent="0.25">
      <c r="A175" s="7" t="s">
        <v>401</v>
      </c>
      <c r="B175" s="6" t="s">
        <v>402</v>
      </c>
      <c r="C175" s="6" t="s">
        <v>468</v>
      </c>
      <c r="D175" s="6" t="s">
        <v>16</v>
      </c>
      <c r="E175" s="6" t="s">
        <v>17</v>
      </c>
      <c r="F175" s="6" t="s">
        <v>18</v>
      </c>
      <c r="G175" s="6" t="s">
        <v>469</v>
      </c>
      <c r="H175" s="6" t="s">
        <v>408</v>
      </c>
      <c r="I175" s="6" t="s">
        <v>470</v>
      </c>
      <c r="J175" s="10">
        <v>1</v>
      </c>
      <c r="K175" s="6" t="s">
        <v>18</v>
      </c>
      <c r="L175" s="6" t="s">
        <v>22</v>
      </c>
      <c r="M175" s="8" t="s">
        <v>23</v>
      </c>
      <c r="N175" s="5" t="str">
        <f t="shared" si="2"/>
        <v>SP</v>
      </c>
    </row>
    <row r="176" spans="1:14" x14ac:dyDescent="0.25">
      <c r="A176" s="7" t="s">
        <v>401</v>
      </c>
      <c r="B176" s="6" t="s">
        <v>402</v>
      </c>
      <c r="C176" s="6" t="s">
        <v>471</v>
      </c>
      <c r="D176" s="6" t="s">
        <v>16</v>
      </c>
      <c r="E176" s="6" t="s">
        <v>17</v>
      </c>
      <c r="F176" s="6" t="s">
        <v>18</v>
      </c>
      <c r="G176" s="6" t="s">
        <v>472</v>
      </c>
      <c r="H176" s="6" t="s">
        <v>415</v>
      </c>
      <c r="I176" s="6" t="s">
        <v>473</v>
      </c>
      <c r="J176" s="10">
        <v>1</v>
      </c>
      <c r="K176" s="6" t="s">
        <v>18</v>
      </c>
      <c r="L176" s="6" t="s">
        <v>22</v>
      </c>
      <c r="M176" s="8" t="s">
        <v>23</v>
      </c>
      <c r="N176" s="5" t="str">
        <f t="shared" si="2"/>
        <v>SP</v>
      </c>
    </row>
    <row r="177" spans="1:14" x14ac:dyDescent="0.25">
      <c r="A177" s="7" t="s">
        <v>401</v>
      </c>
      <c r="B177" s="6" t="s">
        <v>402</v>
      </c>
      <c r="C177" s="6" t="s">
        <v>474</v>
      </c>
      <c r="D177" s="6" t="s">
        <v>16</v>
      </c>
      <c r="E177" s="6" t="s">
        <v>17</v>
      </c>
      <c r="F177" s="6" t="s">
        <v>18</v>
      </c>
      <c r="G177" s="6" t="s">
        <v>475</v>
      </c>
      <c r="H177" s="6" t="s">
        <v>427</v>
      </c>
      <c r="I177" s="6" t="s">
        <v>476</v>
      </c>
      <c r="J177" s="10">
        <v>1</v>
      </c>
      <c r="K177" s="6" t="s">
        <v>18</v>
      </c>
      <c r="L177" s="6" t="s">
        <v>22</v>
      </c>
      <c r="M177" s="8" t="s">
        <v>23</v>
      </c>
      <c r="N177" s="5" t="str">
        <f t="shared" si="2"/>
        <v>SP</v>
      </c>
    </row>
    <row r="178" spans="1:14" x14ac:dyDescent="0.25">
      <c r="A178" s="7" t="s">
        <v>401</v>
      </c>
      <c r="B178" s="6" t="s">
        <v>402</v>
      </c>
      <c r="C178" s="6" t="s">
        <v>477</v>
      </c>
      <c r="D178" s="6" t="s">
        <v>16</v>
      </c>
      <c r="E178" s="6" t="s">
        <v>17</v>
      </c>
      <c r="F178" s="6" t="s">
        <v>18</v>
      </c>
      <c r="G178" s="6" t="s">
        <v>475</v>
      </c>
      <c r="H178" s="6" t="s">
        <v>427</v>
      </c>
      <c r="I178" s="6" t="s">
        <v>478</v>
      </c>
      <c r="J178" s="10">
        <v>1</v>
      </c>
      <c r="K178" s="6" t="s">
        <v>18</v>
      </c>
      <c r="L178" s="6" t="s">
        <v>22</v>
      </c>
      <c r="M178" s="8" t="s">
        <v>23</v>
      </c>
      <c r="N178" s="5" t="str">
        <f t="shared" si="2"/>
        <v>SP</v>
      </c>
    </row>
    <row r="179" spans="1:14" x14ac:dyDescent="0.25">
      <c r="A179" s="7" t="s">
        <v>401</v>
      </c>
      <c r="B179" s="6" t="s">
        <v>402</v>
      </c>
      <c r="C179" s="6" t="s">
        <v>479</v>
      </c>
      <c r="D179" s="6" t="s">
        <v>16</v>
      </c>
      <c r="E179" s="6" t="s">
        <v>17</v>
      </c>
      <c r="F179" s="6" t="s">
        <v>18</v>
      </c>
      <c r="G179" s="6" t="s">
        <v>480</v>
      </c>
      <c r="H179" s="6" t="s">
        <v>481</v>
      </c>
      <c r="I179" s="6" t="s">
        <v>482</v>
      </c>
      <c r="J179" s="10">
        <v>1</v>
      </c>
      <c r="K179" s="6" t="s">
        <v>18</v>
      </c>
      <c r="L179" s="6" t="s">
        <v>22</v>
      </c>
      <c r="M179" s="8" t="s">
        <v>23</v>
      </c>
      <c r="N179" s="5" t="str">
        <f t="shared" si="2"/>
        <v>SP</v>
      </c>
    </row>
    <row r="180" spans="1:14" x14ac:dyDescent="0.25">
      <c r="A180" s="7" t="s">
        <v>401</v>
      </c>
      <c r="B180" s="6" t="s">
        <v>402</v>
      </c>
      <c r="C180" s="6" t="s">
        <v>483</v>
      </c>
      <c r="D180" s="6" t="s">
        <v>16</v>
      </c>
      <c r="E180" s="6" t="s">
        <v>17</v>
      </c>
      <c r="F180" s="6" t="s">
        <v>18</v>
      </c>
      <c r="G180" s="6" t="s">
        <v>484</v>
      </c>
      <c r="H180" s="6" t="s">
        <v>30</v>
      </c>
      <c r="I180" s="6" t="s">
        <v>485</v>
      </c>
      <c r="J180" s="10">
        <v>1</v>
      </c>
      <c r="K180" s="6" t="s">
        <v>18</v>
      </c>
      <c r="L180" s="6" t="s">
        <v>22</v>
      </c>
      <c r="M180" s="8" t="s">
        <v>23</v>
      </c>
      <c r="N180" s="5" t="str">
        <f t="shared" si="2"/>
        <v>SP</v>
      </c>
    </row>
    <row r="181" spans="1:14" x14ac:dyDescent="0.25">
      <c r="A181" s="7" t="s">
        <v>401</v>
      </c>
      <c r="B181" s="6" t="s">
        <v>402</v>
      </c>
      <c r="C181" s="6" t="s">
        <v>486</v>
      </c>
      <c r="D181" s="6" t="s">
        <v>16</v>
      </c>
      <c r="E181" s="6" t="s">
        <v>281</v>
      </c>
      <c r="F181" s="6" t="s">
        <v>18</v>
      </c>
      <c r="G181" s="6" t="s">
        <v>487</v>
      </c>
      <c r="H181" s="6" t="s">
        <v>272</v>
      </c>
      <c r="I181" s="6" t="s">
        <v>488</v>
      </c>
      <c r="J181" s="10">
        <v>1</v>
      </c>
      <c r="K181" s="6" t="s">
        <v>18</v>
      </c>
      <c r="L181" s="6" t="s">
        <v>22</v>
      </c>
      <c r="M181" s="8" t="s">
        <v>23</v>
      </c>
      <c r="N181" s="5" t="str">
        <f t="shared" si="2"/>
        <v>SP</v>
      </c>
    </row>
    <row r="182" spans="1:14" x14ac:dyDescent="0.25">
      <c r="A182" s="7" t="s">
        <v>401</v>
      </c>
      <c r="B182" s="6" t="s">
        <v>402</v>
      </c>
      <c r="C182" s="6" t="s">
        <v>489</v>
      </c>
      <c r="D182" s="6" t="s">
        <v>16</v>
      </c>
      <c r="E182" s="6" t="s">
        <v>281</v>
      </c>
      <c r="F182" s="6" t="s">
        <v>18</v>
      </c>
      <c r="G182" s="6" t="s">
        <v>487</v>
      </c>
      <c r="H182" s="6" t="s">
        <v>427</v>
      </c>
      <c r="I182" s="6" t="s">
        <v>490</v>
      </c>
      <c r="J182" s="10">
        <v>1</v>
      </c>
      <c r="K182" s="6" t="s">
        <v>18</v>
      </c>
      <c r="L182" s="6" t="s">
        <v>22</v>
      </c>
      <c r="M182" s="8" t="s">
        <v>23</v>
      </c>
      <c r="N182" s="5" t="str">
        <f t="shared" si="2"/>
        <v>SP</v>
      </c>
    </row>
    <row r="183" spans="1:14" x14ac:dyDescent="0.25">
      <c r="A183" s="7" t="s">
        <v>401</v>
      </c>
      <c r="B183" s="6" t="s">
        <v>402</v>
      </c>
      <c r="C183" s="6" t="s">
        <v>491</v>
      </c>
      <c r="D183" s="6" t="s">
        <v>16</v>
      </c>
      <c r="E183" s="6" t="s">
        <v>281</v>
      </c>
      <c r="F183" s="6" t="s">
        <v>18</v>
      </c>
      <c r="G183" s="6" t="s">
        <v>492</v>
      </c>
      <c r="H183" s="6" t="s">
        <v>415</v>
      </c>
      <c r="I183" s="6" t="s">
        <v>493</v>
      </c>
      <c r="J183" s="10">
        <v>1</v>
      </c>
      <c r="K183" s="6" t="s">
        <v>18</v>
      </c>
      <c r="L183" s="6" t="s">
        <v>22</v>
      </c>
      <c r="M183" s="8" t="s">
        <v>23</v>
      </c>
      <c r="N183" s="5" t="str">
        <f t="shared" si="2"/>
        <v>SP</v>
      </c>
    </row>
    <row r="184" spans="1:14" x14ac:dyDescent="0.25">
      <c r="A184" s="7" t="s">
        <v>401</v>
      </c>
      <c r="B184" s="6" t="s">
        <v>402</v>
      </c>
      <c r="C184" s="6" t="s">
        <v>494</v>
      </c>
      <c r="D184" s="6" t="s">
        <v>16</v>
      </c>
      <c r="E184" s="6" t="s">
        <v>281</v>
      </c>
      <c r="F184" s="6" t="s">
        <v>18</v>
      </c>
      <c r="G184" s="6" t="s">
        <v>495</v>
      </c>
      <c r="H184" s="6" t="s">
        <v>415</v>
      </c>
      <c r="I184" s="6" t="s">
        <v>496</v>
      </c>
      <c r="J184" s="10">
        <v>1</v>
      </c>
      <c r="K184" s="6" t="s">
        <v>18</v>
      </c>
      <c r="L184" s="6" t="s">
        <v>22</v>
      </c>
      <c r="M184" s="8" t="s">
        <v>23</v>
      </c>
      <c r="N184" s="5" t="str">
        <f t="shared" si="2"/>
        <v>SP</v>
      </c>
    </row>
    <row r="185" spans="1:14" x14ac:dyDescent="0.25">
      <c r="A185" s="7" t="s">
        <v>401</v>
      </c>
      <c r="B185" s="6" t="s">
        <v>402</v>
      </c>
      <c r="C185" s="6" t="s">
        <v>497</v>
      </c>
      <c r="D185" s="6" t="s">
        <v>16</v>
      </c>
      <c r="E185" s="6" t="s">
        <v>281</v>
      </c>
      <c r="F185" s="6" t="s">
        <v>18</v>
      </c>
      <c r="G185" s="6" t="s">
        <v>495</v>
      </c>
      <c r="H185" s="6" t="s">
        <v>408</v>
      </c>
      <c r="I185" s="6" t="s">
        <v>498</v>
      </c>
      <c r="J185" s="10">
        <v>1</v>
      </c>
      <c r="K185" s="6" t="s">
        <v>18</v>
      </c>
      <c r="L185" s="6" t="s">
        <v>22</v>
      </c>
      <c r="M185" s="8" t="s">
        <v>23</v>
      </c>
      <c r="N185" s="5" t="str">
        <f t="shared" si="2"/>
        <v>SP</v>
      </c>
    </row>
    <row r="186" spans="1:14" x14ac:dyDescent="0.25">
      <c r="A186" s="7" t="s">
        <v>401</v>
      </c>
      <c r="B186" s="6" t="s">
        <v>402</v>
      </c>
      <c r="C186" s="6" t="s">
        <v>499</v>
      </c>
      <c r="D186" s="6" t="s">
        <v>16</v>
      </c>
      <c r="E186" s="6" t="s">
        <v>281</v>
      </c>
      <c r="F186" s="6" t="s">
        <v>18</v>
      </c>
      <c r="G186" s="6" t="s">
        <v>426</v>
      </c>
      <c r="H186" s="6" t="s">
        <v>408</v>
      </c>
      <c r="I186" s="6" t="s">
        <v>500</v>
      </c>
      <c r="J186" s="10">
        <v>1</v>
      </c>
      <c r="K186" s="6" t="s">
        <v>18</v>
      </c>
      <c r="L186" s="6" t="s">
        <v>22</v>
      </c>
      <c r="M186" s="8" t="s">
        <v>23</v>
      </c>
      <c r="N186" s="5" t="str">
        <f t="shared" si="2"/>
        <v>SP</v>
      </c>
    </row>
    <row r="187" spans="1:14" x14ac:dyDescent="0.25">
      <c r="A187" s="7" t="s">
        <v>401</v>
      </c>
      <c r="B187" s="6" t="s">
        <v>402</v>
      </c>
      <c r="C187" s="6" t="s">
        <v>501</v>
      </c>
      <c r="D187" s="6" t="s">
        <v>16</v>
      </c>
      <c r="E187" s="6" t="s">
        <v>281</v>
      </c>
      <c r="F187" s="6" t="s">
        <v>18</v>
      </c>
      <c r="G187" s="6" t="s">
        <v>426</v>
      </c>
      <c r="H187" s="6" t="s">
        <v>408</v>
      </c>
      <c r="I187" s="6" t="s">
        <v>502</v>
      </c>
      <c r="J187" s="10">
        <v>1</v>
      </c>
      <c r="K187" s="6" t="s">
        <v>18</v>
      </c>
      <c r="L187" s="6" t="s">
        <v>22</v>
      </c>
      <c r="M187" s="8" t="s">
        <v>23</v>
      </c>
      <c r="N187" s="5" t="str">
        <f t="shared" si="2"/>
        <v>SP</v>
      </c>
    </row>
    <row r="188" spans="1:14" x14ac:dyDescent="0.25">
      <c r="A188" s="7" t="s">
        <v>401</v>
      </c>
      <c r="B188" s="6" t="s">
        <v>402</v>
      </c>
      <c r="C188" s="6" t="s">
        <v>503</v>
      </c>
      <c r="D188" s="6" t="s">
        <v>16</v>
      </c>
      <c r="E188" s="6" t="s">
        <v>281</v>
      </c>
      <c r="F188" s="6" t="s">
        <v>18</v>
      </c>
      <c r="G188" s="6" t="s">
        <v>426</v>
      </c>
      <c r="H188" s="6" t="s">
        <v>408</v>
      </c>
      <c r="I188" s="6" t="s">
        <v>504</v>
      </c>
      <c r="J188" s="10">
        <v>1</v>
      </c>
      <c r="K188" s="6" t="s">
        <v>18</v>
      </c>
      <c r="L188" s="6" t="s">
        <v>22</v>
      </c>
      <c r="M188" s="8" t="s">
        <v>23</v>
      </c>
      <c r="N188" s="5" t="str">
        <f t="shared" si="2"/>
        <v>SP</v>
      </c>
    </row>
    <row r="189" spans="1:14" x14ac:dyDescent="0.25">
      <c r="A189" s="7" t="s">
        <v>401</v>
      </c>
      <c r="B189" s="6" t="s">
        <v>402</v>
      </c>
      <c r="C189" s="6" t="s">
        <v>505</v>
      </c>
      <c r="D189" s="6" t="s">
        <v>16</v>
      </c>
      <c r="E189" s="6" t="s">
        <v>281</v>
      </c>
      <c r="F189" s="6" t="s">
        <v>18</v>
      </c>
      <c r="G189" s="6" t="s">
        <v>433</v>
      </c>
      <c r="H189" s="6" t="s">
        <v>415</v>
      </c>
      <c r="I189" s="6" t="s">
        <v>506</v>
      </c>
      <c r="J189" s="10">
        <v>1</v>
      </c>
      <c r="K189" s="6" t="s">
        <v>18</v>
      </c>
      <c r="L189" s="6" t="s">
        <v>22</v>
      </c>
      <c r="M189" s="8" t="s">
        <v>23</v>
      </c>
      <c r="N189" s="5" t="str">
        <f t="shared" si="2"/>
        <v>SP</v>
      </c>
    </row>
    <row r="190" spans="1:14" x14ac:dyDescent="0.25">
      <c r="A190" s="7" t="s">
        <v>401</v>
      </c>
      <c r="B190" s="6" t="s">
        <v>402</v>
      </c>
      <c r="C190" s="6" t="s">
        <v>507</v>
      </c>
      <c r="D190" s="6" t="s">
        <v>16</v>
      </c>
      <c r="E190" s="6" t="s">
        <v>281</v>
      </c>
      <c r="F190" s="6" t="s">
        <v>18</v>
      </c>
      <c r="G190" s="6" t="s">
        <v>508</v>
      </c>
      <c r="H190" s="6" t="s">
        <v>443</v>
      </c>
      <c r="I190" s="6" t="s">
        <v>509</v>
      </c>
      <c r="J190" s="10">
        <v>1</v>
      </c>
      <c r="K190" s="6" t="s">
        <v>18</v>
      </c>
      <c r="L190" s="6" t="s">
        <v>22</v>
      </c>
      <c r="M190" s="8" t="s">
        <v>23</v>
      </c>
      <c r="N190" s="5" t="str">
        <f t="shared" si="2"/>
        <v>SP</v>
      </c>
    </row>
    <row r="191" spans="1:14" x14ac:dyDescent="0.25">
      <c r="A191" s="7" t="s">
        <v>401</v>
      </c>
      <c r="B191" s="6" t="s">
        <v>402</v>
      </c>
      <c r="C191" s="6" t="s">
        <v>510</v>
      </c>
      <c r="D191" s="6" t="s">
        <v>16</v>
      </c>
      <c r="E191" s="6" t="s">
        <v>281</v>
      </c>
      <c r="F191" s="6" t="s">
        <v>18</v>
      </c>
      <c r="G191" s="6" t="s">
        <v>511</v>
      </c>
      <c r="H191" s="6" t="s">
        <v>408</v>
      </c>
      <c r="I191" s="6" t="s">
        <v>512</v>
      </c>
      <c r="J191" s="10">
        <v>1</v>
      </c>
      <c r="K191" s="6" t="s">
        <v>18</v>
      </c>
      <c r="L191" s="6" t="s">
        <v>22</v>
      </c>
      <c r="M191" s="8" t="s">
        <v>23</v>
      </c>
      <c r="N191" s="5" t="str">
        <f t="shared" si="2"/>
        <v>SP</v>
      </c>
    </row>
    <row r="192" spans="1:14" x14ac:dyDescent="0.25">
      <c r="A192" s="7" t="s">
        <v>401</v>
      </c>
      <c r="B192" s="6" t="s">
        <v>402</v>
      </c>
      <c r="C192" s="6" t="s">
        <v>513</v>
      </c>
      <c r="D192" s="6" t="s">
        <v>16</v>
      </c>
      <c r="E192" s="6" t="s">
        <v>281</v>
      </c>
      <c r="F192" s="6" t="s">
        <v>18</v>
      </c>
      <c r="G192" s="6" t="s">
        <v>480</v>
      </c>
      <c r="H192" s="6" t="s">
        <v>415</v>
      </c>
      <c r="I192" s="6" t="s">
        <v>514</v>
      </c>
      <c r="J192" s="10">
        <v>1</v>
      </c>
      <c r="K192" s="6" t="s">
        <v>18</v>
      </c>
      <c r="L192" s="6" t="s">
        <v>22</v>
      </c>
      <c r="M192" s="8" t="s">
        <v>23</v>
      </c>
      <c r="N192" s="5" t="str">
        <f t="shared" si="2"/>
        <v>SP</v>
      </c>
    </row>
    <row r="193" spans="1:14" x14ac:dyDescent="0.25">
      <c r="A193" s="7" t="s">
        <v>401</v>
      </c>
      <c r="B193" s="6" t="s">
        <v>402</v>
      </c>
      <c r="C193" s="6" t="s">
        <v>515</v>
      </c>
      <c r="D193" s="6" t="s">
        <v>16</v>
      </c>
      <c r="E193" s="6" t="s">
        <v>281</v>
      </c>
      <c r="F193" s="6" t="s">
        <v>18</v>
      </c>
      <c r="G193" s="6" t="s">
        <v>480</v>
      </c>
      <c r="H193" s="6" t="s">
        <v>20</v>
      </c>
      <c r="I193" s="6" t="s">
        <v>516</v>
      </c>
      <c r="J193" s="10">
        <v>1</v>
      </c>
      <c r="K193" s="6" t="s">
        <v>18</v>
      </c>
      <c r="L193" s="6" t="s">
        <v>22</v>
      </c>
      <c r="M193" s="8" t="s">
        <v>23</v>
      </c>
      <c r="N193" s="5" t="str">
        <f t="shared" si="2"/>
        <v>SP</v>
      </c>
    </row>
    <row r="194" spans="1:14" x14ac:dyDescent="0.25">
      <c r="A194" s="7" t="s">
        <v>401</v>
      </c>
      <c r="B194" s="6" t="s">
        <v>402</v>
      </c>
      <c r="C194" s="6" t="s">
        <v>517</v>
      </c>
      <c r="D194" s="6" t="s">
        <v>16</v>
      </c>
      <c r="E194" s="6" t="s">
        <v>281</v>
      </c>
      <c r="F194" s="6" t="s">
        <v>18</v>
      </c>
      <c r="G194" s="6" t="s">
        <v>518</v>
      </c>
      <c r="H194" s="6" t="s">
        <v>443</v>
      </c>
      <c r="I194" s="6" t="s">
        <v>519</v>
      </c>
      <c r="J194" s="10">
        <v>1</v>
      </c>
      <c r="K194" s="6" t="s">
        <v>18</v>
      </c>
      <c r="L194" s="6" t="s">
        <v>22</v>
      </c>
      <c r="M194" s="8" t="s">
        <v>23</v>
      </c>
      <c r="N194" s="5" t="str">
        <f t="shared" si="2"/>
        <v>SP</v>
      </c>
    </row>
    <row r="195" spans="1:14" x14ac:dyDescent="0.25">
      <c r="A195" s="7" t="s">
        <v>401</v>
      </c>
      <c r="B195" s="6" t="s">
        <v>402</v>
      </c>
      <c r="C195" s="6" t="s">
        <v>520</v>
      </c>
      <c r="D195" s="6" t="s">
        <v>16</v>
      </c>
      <c r="E195" s="6" t="s">
        <v>281</v>
      </c>
      <c r="F195" s="6" t="s">
        <v>18</v>
      </c>
      <c r="G195" s="6" t="s">
        <v>521</v>
      </c>
      <c r="H195" s="6" t="s">
        <v>408</v>
      </c>
      <c r="I195" s="6" t="s">
        <v>522</v>
      </c>
      <c r="J195" s="10">
        <v>1</v>
      </c>
      <c r="K195" s="6" t="s">
        <v>18</v>
      </c>
      <c r="L195" s="6" t="s">
        <v>22</v>
      </c>
      <c r="M195" s="8" t="s">
        <v>23</v>
      </c>
      <c r="N195" s="5" t="str">
        <f t="shared" ref="N195:N201" si="3">IF(ISNUMBER(SEARCH("SP",B195)),"SP","RJ")</f>
        <v>SP</v>
      </c>
    </row>
    <row r="196" spans="1:14" x14ac:dyDescent="0.25">
      <c r="A196" s="7" t="s">
        <v>401</v>
      </c>
      <c r="B196" s="6" t="s">
        <v>402</v>
      </c>
      <c r="C196" s="6" t="s">
        <v>523</v>
      </c>
      <c r="D196" s="6" t="s">
        <v>16</v>
      </c>
      <c r="E196" s="6" t="s">
        <v>281</v>
      </c>
      <c r="F196" s="6" t="s">
        <v>18</v>
      </c>
      <c r="G196" s="6" t="s">
        <v>524</v>
      </c>
      <c r="H196" s="6" t="s">
        <v>408</v>
      </c>
      <c r="I196" s="6" t="s">
        <v>525</v>
      </c>
      <c r="J196" s="10">
        <v>1</v>
      </c>
      <c r="K196" s="6" t="s">
        <v>18</v>
      </c>
      <c r="L196" s="6" t="s">
        <v>22</v>
      </c>
      <c r="M196" s="8" t="s">
        <v>23</v>
      </c>
      <c r="N196" s="5" t="str">
        <f t="shared" si="3"/>
        <v>SP</v>
      </c>
    </row>
    <row r="197" spans="1:14" x14ac:dyDescent="0.25">
      <c r="A197" s="7" t="s">
        <v>401</v>
      </c>
      <c r="B197" s="6" t="s">
        <v>402</v>
      </c>
      <c r="C197" s="6" t="s">
        <v>526</v>
      </c>
      <c r="D197" s="6" t="s">
        <v>16</v>
      </c>
      <c r="E197" s="6" t="s">
        <v>281</v>
      </c>
      <c r="F197" s="6" t="s">
        <v>18</v>
      </c>
      <c r="G197" s="6" t="s">
        <v>527</v>
      </c>
      <c r="H197" s="6" t="s">
        <v>443</v>
      </c>
      <c r="I197" s="6" t="s">
        <v>528</v>
      </c>
      <c r="J197" s="10">
        <v>1</v>
      </c>
      <c r="K197" s="6" t="s">
        <v>18</v>
      </c>
      <c r="L197" s="6" t="s">
        <v>22</v>
      </c>
      <c r="M197" s="8" t="s">
        <v>23</v>
      </c>
      <c r="N197" s="5" t="str">
        <f t="shared" si="3"/>
        <v>SP</v>
      </c>
    </row>
    <row r="198" spans="1:14" x14ac:dyDescent="0.25">
      <c r="A198" s="7" t="s">
        <v>401</v>
      </c>
      <c r="B198" s="6" t="s">
        <v>402</v>
      </c>
      <c r="C198" s="6" t="s">
        <v>529</v>
      </c>
      <c r="D198" s="6" t="s">
        <v>16</v>
      </c>
      <c r="E198" s="6" t="s">
        <v>281</v>
      </c>
      <c r="F198" s="6" t="s">
        <v>18</v>
      </c>
      <c r="G198" s="6" t="s">
        <v>530</v>
      </c>
      <c r="H198" s="6" t="s">
        <v>101</v>
      </c>
      <c r="I198" s="6" t="s">
        <v>531</v>
      </c>
      <c r="J198" s="10">
        <v>1</v>
      </c>
      <c r="K198" s="6" t="s">
        <v>18</v>
      </c>
      <c r="L198" s="6" t="s">
        <v>22</v>
      </c>
      <c r="M198" s="8" t="s">
        <v>23</v>
      </c>
      <c r="N198" s="5" t="str">
        <f t="shared" si="3"/>
        <v>SP</v>
      </c>
    </row>
    <row r="199" spans="1:14" x14ac:dyDescent="0.25">
      <c r="A199" s="7" t="s">
        <v>401</v>
      </c>
      <c r="B199" s="6" t="s">
        <v>402</v>
      </c>
      <c r="C199" s="6" t="s">
        <v>532</v>
      </c>
      <c r="D199" s="6" t="s">
        <v>16</v>
      </c>
      <c r="E199" s="6" t="s">
        <v>281</v>
      </c>
      <c r="F199" s="6" t="s">
        <v>18</v>
      </c>
      <c r="G199" s="6" t="s">
        <v>533</v>
      </c>
      <c r="H199" s="6" t="s">
        <v>101</v>
      </c>
      <c r="I199" s="6" t="s">
        <v>534</v>
      </c>
      <c r="J199" s="10">
        <v>1</v>
      </c>
      <c r="K199" s="6" t="s">
        <v>18</v>
      </c>
      <c r="L199" s="6" t="s">
        <v>22</v>
      </c>
      <c r="M199" s="8" t="s">
        <v>23</v>
      </c>
      <c r="N199" s="5" t="str">
        <f t="shared" si="3"/>
        <v>SP</v>
      </c>
    </row>
    <row r="200" spans="1:14" x14ac:dyDescent="0.25">
      <c r="A200" s="7" t="s">
        <v>401</v>
      </c>
      <c r="B200" s="6" t="s">
        <v>402</v>
      </c>
      <c r="C200" s="6" t="s">
        <v>535</v>
      </c>
      <c r="D200" s="6" t="s">
        <v>16</v>
      </c>
      <c r="E200" s="6" t="s">
        <v>226</v>
      </c>
      <c r="F200" s="6" t="s">
        <v>18</v>
      </c>
      <c r="G200" s="6" t="s">
        <v>536</v>
      </c>
      <c r="H200" s="6" t="s">
        <v>427</v>
      </c>
      <c r="I200" s="6" t="s">
        <v>537</v>
      </c>
      <c r="J200" s="10">
        <v>1</v>
      </c>
      <c r="K200" s="6" t="s">
        <v>18</v>
      </c>
      <c r="L200" s="6" t="s">
        <v>22</v>
      </c>
      <c r="M200" s="8" t="s">
        <v>23</v>
      </c>
      <c r="N200" s="5" t="str">
        <f t="shared" si="3"/>
        <v>SP</v>
      </c>
    </row>
    <row r="201" spans="1:14" x14ac:dyDescent="0.25">
      <c r="A201" s="7" t="s">
        <v>401</v>
      </c>
      <c r="B201" s="6" t="s">
        <v>402</v>
      </c>
      <c r="C201" s="6" t="s">
        <v>538</v>
      </c>
      <c r="D201" s="6" t="s">
        <v>16</v>
      </c>
      <c r="E201" s="6" t="s">
        <v>226</v>
      </c>
      <c r="F201" s="6" t="s">
        <v>18</v>
      </c>
      <c r="G201" s="6" t="s">
        <v>536</v>
      </c>
      <c r="H201" s="6" t="s">
        <v>427</v>
      </c>
      <c r="I201" s="6" t="s">
        <v>539</v>
      </c>
      <c r="J201" s="10">
        <v>1</v>
      </c>
      <c r="K201" s="6" t="s">
        <v>18</v>
      </c>
      <c r="L201" s="6" t="s">
        <v>22</v>
      </c>
      <c r="M201" s="8" t="s">
        <v>23</v>
      </c>
      <c r="N201" s="5" t="str">
        <f t="shared" si="3"/>
        <v>SP</v>
      </c>
    </row>
    <row r="202" spans="1:14" x14ac:dyDescent="0.25">
      <c r="A202" s="59" t="s">
        <v>13</v>
      </c>
      <c r="B202" s="59" t="s">
        <v>14</v>
      </c>
      <c r="C202" s="59" t="s">
        <v>558</v>
      </c>
      <c r="D202" s="59" t="s">
        <v>16</v>
      </c>
      <c r="E202" s="59" t="s">
        <v>559</v>
      </c>
      <c r="F202" s="59" t="s">
        <v>18</v>
      </c>
      <c r="G202" s="59" t="s">
        <v>287</v>
      </c>
      <c r="H202" s="59" t="s">
        <v>20</v>
      </c>
      <c r="I202" s="59" t="s">
        <v>560</v>
      </c>
      <c r="J202" s="59" t="s">
        <v>18</v>
      </c>
      <c r="K202" s="59" t="s">
        <v>18</v>
      </c>
      <c r="L202" s="59" t="s">
        <v>22</v>
      </c>
      <c r="M202" s="59" t="s">
        <v>23</v>
      </c>
    </row>
    <row r="203" spans="1:14" x14ac:dyDescent="0.25">
      <c r="A203" s="59" t="s">
        <v>13</v>
      </c>
      <c r="B203" s="59" t="s">
        <v>14</v>
      </c>
      <c r="C203" s="59" t="s">
        <v>561</v>
      </c>
      <c r="D203" s="59" t="s">
        <v>16</v>
      </c>
      <c r="E203" s="59" t="s">
        <v>562</v>
      </c>
      <c r="F203" s="59" t="s">
        <v>18</v>
      </c>
      <c r="G203" s="59" t="s">
        <v>188</v>
      </c>
      <c r="H203" s="59" t="s">
        <v>26</v>
      </c>
      <c r="I203" s="59" t="s">
        <v>563</v>
      </c>
      <c r="J203" s="59" t="s">
        <v>18</v>
      </c>
      <c r="K203" s="59" t="s">
        <v>18</v>
      </c>
      <c r="L203" s="59" t="s">
        <v>22</v>
      </c>
      <c r="M203" s="59" t="s">
        <v>23</v>
      </c>
    </row>
    <row r="204" spans="1:14" x14ac:dyDescent="0.25">
      <c r="A204" s="59" t="s">
        <v>13</v>
      </c>
      <c r="B204" s="59" t="s">
        <v>14</v>
      </c>
      <c r="C204" s="59" t="s">
        <v>564</v>
      </c>
      <c r="D204" s="59" t="s">
        <v>16</v>
      </c>
      <c r="E204" s="59" t="s">
        <v>562</v>
      </c>
      <c r="F204" s="59" t="s">
        <v>18</v>
      </c>
      <c r="G204" s="59" t="s">
        <v>191</v>
      </c>
      <c r="H204" s="59" t="s">
        <v>20</v>
      </c>
      <c r="I204" s="59" t="s">
        <v>565</v>
      </c>
      <c r="J204" s="59" t="s">
        <v>18</v>
      </c>
      <c r="K204" s="59" t="s">
        <v>18</v>
      </c>
      <c r="L204" s="59" t="s">
        <v>22</v>
      </c>
      <c r="M204" s="59" t="s">
        <v>23</v>
      </c>
    </row>
    <row r="205" spans="1:14" x14ac:dyDescent="0.25">
      <c r="A205" s="59" t="s">
        <v>13</v>
      </c>
      <c r="B205" s="59" t="s">
        <v>14</v>
      </c>
      <c r="C205" s="59" t="s">
        <v>566</v>
      </c>
      <c r="D205" s="59" t="s">
        <v>16</v>
      </c>
      <c r="E205" s="59" t="s">
        <v>562</v>
      </c>
      <c r="F205" s="59" t="s">
        <v>18</v>
      </c>
      <c r="G205" s="59" t="s">
        <v>56</v>
      </c>
      <c r="H205" s="59" t="s">
        <v>20</v>
      </c>
      <c r="I205" s="59" t="s">
        <v>567</v>
      </c>
      <c r="J205" s="59" t="s">
        <v>18</v>
      </c>
      <c r="K205" s="59" t="s">
        <v>18</v>
      </c>
      <c r="L205" s="59" t="s">
        <v>22</v>
      </c>
      <c r="M205" s="59" t="s">
        <v>23</v>
      </c>
    </row>
    <row r="206" spans="1:14" x14ac:dyDescent="0.25">
      <c r="A206" s="59" t="s">
        <v>13</v>
      </c>
      <c r="B206" s="59" t="s">
        <v>14</v>
      </c>
      <c r="C206" s="59" t="s">
        <v>568</v>
      </c>
      <c r="D206" s="59" t="s">
        <v>16</v>
      </c>
      <c r="E206" s="59" t="s">
        <v>562</v>
      </c>
      <c r="F206" s="59" t="s">
        <v>18</v>
      </c>
      <c r="G206" s="59" t="s">
        <v>569</v>
      </c>
      <c r="H206" s="59" t="s">
        <v>26</v>
      </c>
      <c r="I206" s="59" t="s">
        <v>570</v>
      </c>
      <c r="J206" s="59" t="s">
        <v>18</v>
      </c>
      <c r="K206" s="59" t="s">
        <v>18</v>
      </c>
      <c r="L206" s="59" t="s">
        <v>22</v>
      </c>
      <c r="M206" s="59" t="s">
        <v>23</v>
      </c>
    </row>
    <row r="207" spans="1:14" x14ac:dyDescent="0.25">
      <c r="A207" s="59" t="s">
        <v>13</v>
      </c>
      <c r="B207" s="59" t="s">
        <v>14</v>
      </c>
      <c r="C207" s="59" t="s">
        <v>571</v>
      </c>
      <c r="D207" s="59" t="s">
        <v>16</v>
      </c>
      <c r="E207" s="59" t="s">
        <v>562</v>
      </c>
      <c r="F207" s="59" t="s">
        <v>18</v>
      </c>
      <c r="G207" s="59" t="s">
        <v>269</v>
      </c>
      <c r="H207" s="59" t="s">
        <v>30</v>
      </c>
      <c r="I207" s="59" t="s">
        <v>572</v>
      </c>
      <c r="J207" s="59" t="s">
        <v>18</v>
      </c>
      <c r="K207" s="59" t="s">
        <v>18</v>
      </c>
      <c r="L207" s="59" t="s">
        <v>22</v>
      </c>
      <c r="M207" s="59" t="s">
        <v>23</v>
      </c>
    </row>
    <row r="208" spans="1:14" x14ac:dyDescent="0.25">
      <c r="A208" s="59" t="s">
        <v>13</v>
      </c>
      <c r="B208" s="59" t="s">
        <v>14</v>
      </c>
      <c r="C208" s="59" t="s">
        <v>573</v>
      </c>
      <c r="D208" s="59" t="s">
        <v>16</v>
      </c>
      <c r="E208" s="59" t="s">
        <v>562</v>
      </c>
      <c r="F208" s="59" t="s">
        <v>18</v>
      </c>
      <c r="G208" s="59" t="s">
        <v>194</v>
      </c>
      <c r="H208" s="59" t="s">
        <v>26</v>
      </c>
      <c r="I208" s="59" t="s">
        <v>574</v>
      </c>
      <c r="J208" s="59" t="s">
        <v>18</v>
      </c>
      <c r="K208" s="59" t="s">
        <v>18</v>
      </c>
      <c r="L208" s="59" t="s">
        <v>22</v>
      </c>
      <c r="M208" s="59" t="s">
        <v>23</v>
      </c>
    </row>
    <row r="209" spans="1:13" x14ac:dyDescent="0.25">
      <c r="A209" s="59" t="s">
        <v>13</v>
      </c>
      <c r="B209" s="59" t="s">
        <v>14</v>
      </c>
      <c r="C209" s="59" t="s">
        <v>575</v>
      </c>
      <c r="D209" s="59" t="s">
        <v>16</v>
      </c>
      <c r="E209" s="59" t="s">
        <v>562</v>
      </c>
      <c r="F209" s="59" t="s">
        <v>18</v>
      </c>
      <c r="G209" s="59" t="s">
        <v>191</v>
      </c>
      <c r="H209" s="59" t="s">
        <v>20</v>
      </c>
      <c r="I209" s="59" t="s">
        <v>576</v>
      </c>
      <c r="J209" s="59" t="s">
        <v>18</v>
      </c>
      <c r="K209" s="59" t="s">
        <v>18</v>
      </c>
      <c r="L209" s="59" t="s">
        <v>22</v>
      </c>
      <c r="M209" s="59" t="s">
        <v>23</v>
      </c>
    </row>
    <row r="210" spans="1:13" x14ac:dyDescent="0.25">
      <c r="A210" s="59" t="s">
        <v>13</v>
      </c>
      <c r="B210" s="59" t="s">
        <v>14</v>
      </c>
      <c r="C210" s="59" t="s">
        <v>577</v>
      </c>
      <c r="D210" s="59" t="s">
        <v>16</v>
      </c>
      <c r="E210" s="59" t="s">
        <v>562</v>
      </c>
      <c r="F210" s="59" t="s">
        <v>18</v>
      </c>
      <c r="G210" s="59" t="s">
        <v>342</v>
      </c>
      <c r="H210" s="59" t="s">
        <v>26</v>
      </c>
      <c r="I210" s="59" t="s">
        <v>578</v>
      </c>
      <c r="J210" s="59" t="s">
        <v>18</v>
      </c>
      <c r="K210" s="59" t="s">
        <v>18</v>
      </c>
      <c r="L210" s="59" t="s">
        <v>22</v>
      </c>
      <c r="M210" s="59" t="s">
        <v>23</v>
      </c>
    </row>
    <row r="211" spans="1:13" x14ac:dyDescent="0.25">
      <c r="A211" s="59" t="s">
        <v>13</v>
      </c>
      <c r="B211" s="59" t="s">
        <v>14</v>
      </c>
      <c r="C211" s="59" t="s">
        <v>579</v>
      </c>
      <c r="D211" s="59" t="s">
        <v>16</v>
      </c>
      <c r="E211" s="59" t="s">
        <v>562</v>
      </c>
      <c r="F211" s="59" t="s">
        <v>18</v>
      </c>
      <c r="G211" s="59" t="s">
        <v>29</v>
      </c>
      <c r="H211" s="59" t="s">
        <v>26</v>
      </c>
      <c r="I211" s="59" t="s">
        <v>580</v>
      </c>
      <c r="J211" s="59" t="s">
        <v>18</v>
      </c>
      <c r="K211" s="59" t="s">
        <v>18</v>
      </c>
      <c r="L211" s="59" t="s">
        <v>22</v>
      </c>
      <c r="M211" s="59" t="s">
        <v>23</v>
      </c>
    </row>
    <row r="212" spans="1:13" x14ac:dyDescent="0.25">
      <c r="A212" s="59" t="s">
        <v>13</v>
      </c>
      <c r="B212" s="59" t="s">
        <v>14</v>
      </c>
      <c r="C212" s="59" t="s">
        <v>581</v>
      </c>
      <c r="D212" s="59" t="s">
        <v>16</v>
      </c>
      <c r="E212" s="59" t="s">
        <v>562</v>
      </c>
      <c r="F212" s="59" t="s">
        <v>18</v>
      </c>
      <c r="G212" s="59" t="s">
        <v>123</v>
      </c>
      <c r="H212" s="59" t="s">
        <v>20</v>
      </c>
      <c r="I212" s="59" t="s">
        <v>582</v>
      </c>
      <c r="J212" s="59" t="s">
        <v>18</v>
      </c>
      <c r="K212" s="59" t="s">
        <v>18</v>
      </c>
      <c r="L212" s="59" t="s">
        <v>22</v>
      </c>
      <c r="M212" s="59" t="s">
        <v>23</v>
      </c>
    </row>
    <row r="213" spans="1:13" x14ac:dyDescent="0.25">
      <c r="A213" s="59" t="s">
        <v>13</v>
      </c>
      <c r="B213" s="59" t="s">
        <v>14</v>
      </c>
      <c r="C213" s="59" t="s">
        <v>583</v>
      </c>
      <c r="D213" s="59" t="s">
        <v>16</v>
      </c>
      <c r="E213" s="59" t="s">
        <v>562</v>
      </c>
      <c r="F213" s="59" t="s">
        <v>18</v>
      </c>
      <c r="G213" s="59" t="s">
        <v>584</v>
      </c>
      <c r="H213" s="59" t="s">
        <v>20</v>
      </c>
      <c r="I213" s="59" t="s">
        <v>585</v>
      </c>
      <c r="J213" s="59" t="s">
        <v>18</v>
      </c>
      <c r="K213" s="59" t="s">
        <v>18</v>
      </c>
      <c r="L213" s="59" t="s">
        <v>22</v>
      </c>
      <c r="M213" s="59" t="s">
        <v>23</v>
      </c>
    </row>
    <row r="214" spans="1:13" x14ac:dyDescent="0.25">
      <c r="A214" s="59" t="s">
        <v>13</v>
      </c>
      <c r="B214" s="59" t="s">
        <v>14</v>
      </c>
      <c r="C214" s="59" t="s">
        <v>586</v>
      </c>
      <c r="D214" s="59" t="s">
        <v>16</v>
      </c>
      <c r="E214" s="59" t="s">
        <v>562</v>
      </c>
      <c r="F214" s="59" t="s">
        <v>18</v>
      </c>
      <c r="G214" s="59" t="s">
        <v>587</v>
      </c>
      <c r="H214" s="59" t="s">
        <v>26</v>
      </c>
      <c r="I214" s="59" t="s">
        <v>588</v>
      </c>
      <c r="J214" s="59" t="s">
        <v>18</v>
      </c>
      <c r="K214" s="59" t="s">
        <v>18</v>
      </c>
      <c r="L214" s="59" t="s">
        <v>22</v>
      </c>
      <c r="M214" s="59" t="s">
        <v>23</v>
      </c>
    </row>
    <row r="215" spans="1:13" x14ac:dyDescent="0.25">
      <c r="A215" s="59" t="s">
        <v>13</v>
      </c>
      <c r="B215" s="59" t="s">
        <v>14</v>
      </c>
      <c r="C215" s="59" t="s">
        <v>589</v>
      </c>
      <c r="D215" s="59" t="s">
        <v>16</v>
      </c>
      <c r="E215" s="59" t="s">
        <v>562</v>
      </c>
      <c r="F215" s="59" t="s">
        <v>18</v>
      </c>
      <c r="G215" s="59" t="s">
        <v>185</v>
      </c>
      <c r="H215" s="59" t="s">
        <v>26</v>
      </c>
      <c r="I215" s="59" t="s">
        <v>590</v>
      </c>
      <c r="J215" s="59" t="s">
        <v>18</v>
      </c>
      <c r="K215" s="59" t="s">
        <v>18</v>
      </c>
      <c r="L215" s="59" t="s">
        <v>22</v>
      </c>
      <c r="M215" s="59" t="s">
        <v>23</v>
      </c>
    </row>
    <row r="216" spans="1:13" x14ac:dyDescent="0.25">
      <c r="A216" s="59" t="s">
        <v>13</v>
      </c>
      <c r="B216" s="59" t="s">
        <v>14</v>
      </c>
      <c r="C216" s="59" t="s">
        <v>591</v>
      </c>
      <c r="D216" s="59" t="s">
        <v>16</v>
      </c>
      <c r="E216" s="59" t="s">
        <v>562</v>
      </c>
      <c r="F216" s="59" t="s">
        <v>18</v>
      </c>
      <c r="G216" s="59" t="s">
        <v>98</v>
      </c>
      <c r="H216" s="59" t="s">
        <v>26</v>
      </c>
      <c r="I216" s="59" t="s">
        <v>592</v>
      </c>
      <c r="J216" s="59" t="s">
        <v>18</v>
      </c>
      <c r="K216" s="59" t="s">
        <v>18</v>
      </c>
      <c r="L216" s="59" t="s">
        <v>22</v>
      </c>
      <c r="M216" s="59" t="s">
        <v>23</v>
      </c>
    </row>
    <row r="217" spans="1:13" x14ac:dyDescent="0.25">
      <c r="A217" s="59" t="s">
        <v>13</v>
      </c>
      <c r="B217" s="59" t="s">
        <v>14</v>
      </c>
      <c r="C217" s="59" t="s">
        <v>593</v>
      </c>
      <c r="D217" s="59" t="s">
        <v>16</v>
      </c>
      <c r="E217" s="59" t="s">
        <v>562</v>
      </c>
      <c r="F217" s="59" t="s">
        <v>18</v>
      </c>
      <c r="G217" s="59" t="s">
        <v>587</v>
      </c>
      <c r="H217" s="59" t="s">
        <v>20</v>
      </c>
      <c r="I217" s="59" t="s">
        <v>594</v>
      </c>
      <c r="J217" s="59" t="s">
        <v>18</v>
      </c>
      <c r="K217" s="59" t="s">
        <v>18</v>
      </c>
      <c r="L217" s="59" t="s">
        <v>22</v>
      </c>
      <c r="M217" s="59" t="s">
        <v>23</v>
      </c>
    </row>
    <row r="218" spans="1:13" x14ac:dyDescent="0.25">
      <c r="A218" s="59" t="s">
        <v>13</v>
      </c>
      <c r="B218" s="59" t="s">
        <v>14</v>
      </c>
      <c r="C218" s="59" t="s">
        <v>595</v>
      </c>
      <c r="D218" s="59" t="s">
        <v>16</v>
      </c>
      <c r="E218" s="59" t="s">
        <v>562</v>
      </c>
      <c r="F218" s="59" t="s">
        <v>18</v>
      </c>
      <c r="G218" s="59" t="s">
        <v>347</v>
      </c>
      <c r="H218" s="59" t="s">
        <v>26</v>
      </c>
      <c r="I218" s="59" t="s">
        <v>596</v>
      </c>
      <c r="J218" s="59" t="s">
        <v>18</v>
      </c>
      <c r="K218" s="59" t="s">
        <v>18</v>
      </c>
      <c r="L218" s="59" t="s">
        <v>22</v>
      </c>
      <c r="M218" s="59" t="s">
        <v>23</v>
      </c>
    </row>
    <row r="219" spans="1:13" x14ac:dyDescent="0.25">
      <c r="A219" s="59" t="s">
        <v>13</v>
      </c>
      <c r="B219" s="59" t="s">
        <v>14</v>
      </c>
      <c r="C219" s="59" t="s">
        <v>597</v>
      </c>
      <c r="D219" s="59" t="s">
        <v>16</v>
      </c>
      <c r="E219" s="59" t="s">
        <v>562</v>
      </c>
      <c r="F219" s="59" t="s">
        <v>18</v>
      </c>
      <c r="G219" s="59" t="s">
        <v>587</v>
      </c>
      <c r="H219" s="59" t="s">
        <v>26</v>
      </c>
      <c r="I219" s="59" t="s">
        <v>598</v>
      </c>
      <c r="J219" s="59" t="s">
        <v>18</v>
      </c>
      <c r="K219" s="59" t="s">
        <v>18</v>
      </c>
      <c r="L219" s="59" t="s">
        <v>22</v>
      </c>
      <c r="M219" s="59" t="s">
        <v>23</v>
      </c>
    </row>
    <row r="220" spans="1:13" x14ac:dyDescent="0.25">
      <c r="A220" s="59" t="s">
        <v>13</v>
      </c>
      <c r="B220" s="59" t="s">
        <v>14</v>
      </c>
      <c r="C220" s="59" t="s">
        <v>599</v>
      </c>
      <c r="D220" s="59" t="s">
        <v>16</v>
      </c>
      <c r="E220" s="59" t="s">
        <v>562</v>
      </c>
      <c r="F220" s="59" t="s">
        <v>18</v>
      </c>
      <c r="G220" s="59" t="s">
        <v>347</v>
      </c>
      <c r="H220" s="59" t="s">
        <v>20</v>
      </c>
      <c r="I220" s="59" t="s">
        <v>600</v>
      </c>
      <c r="J220" s="59" t="s">
        <v>18</v>
      </c>
      <c r="K220" s="59" t="s">
        <v>18</v>
      </c>
      <c r="L220" s="59" t="s">
        <v>22</v>
      </c>
      <c r="M220" s="59" t="s">
        <v>23</v>
      </c>
    </row>
    <row r="221" spans="1:13" x14ac:dyDescent="0.25">
      <c r="A221" s="59" t="s">
        <v>13</v>
      </c>
      <c r="B221" s="59" t="s">
        <v>14</v>
      </c>
      <c r="C221" s="59" t="s">
        <v>601</v>
      </c>
      <c r="D221" s="59" t="s">
        <v>16</v>
      </c>
      <c r="E221" s="59" t="s">
        <v>562</v>
      </c>
      <c r="F221" s="59" t="s">
        <v>18</v>
      </c>
      <c r="G221" s="59" t="s">
        <v>602</v>
      </c>
      <c r="H221" s="59" t="s">
        <v>30</v>
      </c>
      <c r="I221" s="59" t="s">
        <v>603</v>
      </c>
      <c r="J221" s="59" t="s">
        <v>18</v>
      </c>
      <c r="K221" s="59" t="s">
        <v>18</v>
      </c>
      <c r="L221" s="59" t="s">
        <v>22</v>
      </c>
      <c r="M221" s="59" t="s">
        <v>23</v>
      </c>
    </row>
    <row r="222" spans="1:13" x14ac:dyDescent="0.25">
      <c r="A222" s="59" t="s">
        <v>13</v>
      </c>
      <c r="B222" s="59" t="s">
        <v>14</v>
      </c>
      <c r="C222" s="59" t="s">
        <v>604</v>
      </c>
      <c r="D222" s="59" t="s">
        <v>16</v>
      </c>
      <c r="E222" s="59" t="s">
        <v>562</v>
      </c>
      <c r="F222" s="59" t="s">
        <v>18</v>
      </c>
      <c r="G222" s="59" t="s">
        <v>287</v>
      </c>
      <c r="H222" s="59" t="s">
        <v>26</v>
      </c>
      <c r="I222" s="59" t="s">
        <v>605</v>
      </c>
      <c r="J222" s="59" t="s">
        <v>18</v>
      </c>
      <c r="K222" s="59" t="s">
        <v>18</v>
      </c>
      <c r="L222" s="59" t="s">
        <v>22</v>
      </c>
      <c r="M222" s="59" t="s">
        <v>23</v>
      </c>
    </row>
    <row r="223" spans="1:13" x14ac:dyDescent="0.25">
      <c r="A223" s="59" t="s">
        <v>13</v>
      </c>
      <c r="B223" s="59" t="s">
        <v>14</v>
      </c>
      <c r="C223" s="59" t="s">
        <v>606</v>
      </c>
      <c r="D223" s="59" t="s">
        <v>16</v>
      </c>
      <c r="E223" s="59" t="s">
        <v>562</v>
      </c>
      <c r="F223" s="59" t="s">
        <v>18</v>
      </c>
      <c r="G223" s="59" t="s">
        <v>19</v>
      </c>
      <c r="H223" s="59" t="s">
        <v>20</v>
      </c>
      <c r="I223" s="59" t="s">
        <v>607</v>
      </c>
      <c r="J223" s="59" t="s">
        <v>18</v>
      </c>
      <c r="K223" s="59" t="s">
        <v>18</v>
      </c>
      <c r="L223" s="59" t="s">
        <v>22</v>
      </c>
      <c r="M223" s="59" t="s">
        <v>23</v>
      </c>
    </row>
    <row r="224" spans="1:13" x14ac:dyDescent="0.25">
      <c r="A224" s="59" t="s">
        <v>13</v>
      </c>
      <c r="B224" s="59" t="s">
        <v>14</v>
      </c>
      <c r="C224" s="59" t="s">
        <v>608</v>
      </c>
      <c r="D224" s="59" t="s">
        <v>16</v>
      </c>
      <c r="E224" s="59" t="s">
        <v>562</v>
      </c>
      <c r="F224" s="59" t="s">
        <v>18</v>
      </c>
      <c r="G224" s="59" t="s">
        <v>33</v>
      </c>
      <c r="H224" s="59" t="s">
        <v>26</v>
      </c>
      <c r="I224" s="59" t="s">
        <v>609</v>
      </c>
      <c r="J224" s="59" t="s">
        <v>18</v>
      </c>
      <c r="K224" s="59" t="s">
        <v>18</v>
      </c>
      <c r="L224" s="59" t="s">
        <v>22</v>
      </c>
      <c r="M224" s="59" t="s">
        <v>23</v>
      </c>
    </row>
    <row r="225" spans="1:13" x14ac:dyDescent="0.25">
      <c r="A225" s="59" t="s">
        <v>13</v>
      </c>
      <c r="B225" s="59" t="s">
        <v>14</v>
      </c>
      <c r="C225" s="59" t="s">
        <v>610</v>
      </c>
      <c r="D225" s="59" t="s">
        <v>16</v>
      </c>
      <c r="E225" s="59" t="s">
        <v>562</v>
      </c>
      <c r="F225" s="59" t="s">
        <v>18</v>
      </c>
      <c r="G225" s="59" t="s">
        <v>82</v>
      </c>
      <c r="H225" s="59" t="s">
        <v>20</v>
      </c>
      <c r="I225" s="59" t="s">
        <v>611</v>
      </c>
      <c r="J225" s="59" t="s">
        <v>18</v>
      </c>
      <c r="K225" s="59" t="s">
        <v>18</v>
      </c>
      <c r="L225" s="59" t="s">
        <v>22</v>
      </c>
      <c r="M225" s="59" t="s">
        <v>23</v>
      </c>
    </row>
    <row r="226" spans="1:13" x14ac:dyDescent="0.25">
      <c r="A226" s="59" t="s">
        <v>13</v>
      </c>
      <c r="B226" s="59" t="s">
        <v>14</v>
      </c>
      <c r="C226" s="59" t="s">
        <v>612</v>
      </c>
      <c r="D226" s="59" t="s">
        <v>16</v>
      </c>
      <c r="E226" s="59" t="s">
        <v>562</v>
      </c>
      <c r="F226" s="59" t="s">
        <v>18</v>
      </c>
      <c r="G226" s="59" t="s">
        <v>167</v>
      </c>
      <c r="H226" s="59" t="s">
        <v>26</v>
      </c>
      <c r="I226" s="59" t="s">
        <v>613</v>
      </c>
      <c r="J226" s="59" t="s">
        <v>18</v>
      </c>
      <c r="K226" s="59" t="s">
        <v>18</v>
      </c>
      <c r="L226" s="59" t="s">
        <v>22</v>
      </c>
      <c r="M226" s="59" t="s">
        <v>23</v>
      </c>
    </row>
    <row r="227" spans="1:13" x14ac:dyDescent="0.25">
      <c r="A227" s="59" t="s">
        <v>13</v>
      </c>
      <c r="B227" s="59" t="s">
        <v>14</v>
      </c>
      <c r="C227" s="59" t="s">
        <v>614</v>
      </c>
      <c r="D227" s="59" t="s">
        <v>16</v>
      </c>
      <c r="E227" s="59" t="s">
        <v>562</v>
      </c>
      <c r="F227" s="59" t="s">
        <v>18</v>
      </c>
      <c r="G227" s="59" t="s">
        <v>51</v>
      </c>
      <c r="H227" s="59" t="s">
        <v>20</v>
      </c>
      <c r="I227" s="59" t="s">
        <v>615</v>
      </c>
      <c r="J227" s="59" t="s">
        <v>18</v>
      </c>
      <c r="K227" s="59" t="s">
        <v>18</v>
      </c>
      <c r="L227" s="59" t="s">
        <v>22</v>
      </c>
      <c r="M227" s="59" t="s">
        <v>23</v>
      </c>
    </row>
    <row r="228" spans="1:13" x14ac:dyDescent="0.25">
      <c r="A228" s="59" t="s">
        <v>13</v>
      </c>
      <c r="B228" s="59" t="s">
        <v>14</v>
      </c>
      <c r="C228" s="59" t="s">
        <v>616</v>
      </c>
      <c r="D228" s="59" t="s">
        <v>16</v>
      </c>
      <c r="E228" s="59" t="s">
        <v>562</v>
      </c>
      <c r="F228" s="59" t="s">
        <v>18</v>
      </c>
      <c r="G228" s="59" t="s">
        <v>617</v>
      </c>
      <c r="H228" s="59" t="s">
        <v>26</v>
      </c>
      <c r="I228" s="59" t="s">
        <v>618</v>
      </c>
      <c r="J228" s="59" t="s">
        <v>18</v>
      </c>
      <c r="K228" s="59" t="s">
        <v>18</v>
      </c>
      <c r="L228" s="59" t="s">
        <v>22</v>
      </c>
      <c r="M228" s="59" t="s">
        <v>23</v>
      </c>
    </row>
    <row r="229" spans="1:13" x14ac:dyDescent="0.25">
      <c r="A229" s="59" t="s">
        <v>13</v>
      </c>
      <c r="B229" s="59" t="s">
        <v>14</v>
      </c>
      <c r="C229" s="59" t="s">
        <v>619</v>
      </c>
      <c r="D229" s="59" t="s">
        <v>16</v>
      </c>
      <c r="E229" s="59" t="s">
        <v>562</v>
      </c>
      <c r="F229" s="59" t="s">
        <v>18</v>
      </c>
      <c r="G229" s="59" t="s">
        <v>335</v>
      </c>
      <c r="H229" s="59" t="s">
        <v>30</v>
      </c>
      <c r="I229" s="59" t="s">
        <v>620</v>
      </c>
      <c r="J229" s="59" t="s">
        <v>18</v>
      </c>
      <c r="K229" s="59" t="s">
        <v>18</v>
      </c>
      <c r="L229" s="59" t="s">
        <v>22</v>
      </c>
      <c r="M229" s="59" t="s">
        <v>23</v>
      </c>
    </row>
    <row r="230" spans="1:13" x14ac:dyDescent="0.25">
      <c r="A230" s="59" t="s">
        <v>13</v>
      </c>
      <c r="B230" s="59" t="s">
        <v>14</v>
      </c>
      <c r="C230" s="59" t="s">
        <v>621</v>
      </c>
      <c r="D230" s="59" t="s">
        <v>16</v>
      </c>
      <c r="E230" s="59" t="s">
        <v>562</v>
      </c>
      <c r="F230" s="59" t="s">
        <v>18</v>
      </c>
      <c r="G230" s="59" t="s">
        <v>602</v>
      </c>
      <c r="H230" s="59" t="s">
        <v>30</v>
      </c>
      <c r="I230" s="59" t="s">
        <v>622</v>
      </c>
      <c r="J230" s="59" t="s">
        <v>18</v>
      </c>
      <c r="K230" s="59" t="s">
        <v>18</v>
      </c>
      <c r="L230" s="59" t="s">
        <v>22</v>
      </c>
      <c r="M230" s="59" t="s">
        <v>23</v>
      </c>
    </row>
    <row r="231" spans="1:13" x14ac:dyDescent="0.25">
      <c r="A231" s="59" t="s">
        <v>13</v>
      </c>
      <c r="B231" s="59" t="s">
        <v>14</v>
      </c>
      <c r="C231" s="59" t="s">
        <v>623</v>
      </c>
      <c r="D231" s="59" t="s">
        <v>16</v>
      </c>
      <c r="E231" s="59" t="s">
        <v>562</v>
      </c>
      <c r="F231" s="59" t="s">
        <v>18</v>
      </c>
      <c r="G231" s="59" t="s">
        <v>36</v>
      </c>
      <c r="H231" s="59" t="s">
        <v>20</v>
      </c>
      <c r="I231" s="59" t="s">
        <v>624</v>
      </c>
      <c r="J231" s="59" t="s">
        <v>18</v>
      </c>
      <c r="K231" s="59" t="s">
        <v>18</v>
      </c>
      <c r="L231" s="59" t="s">
        <v>22</v>
      </c>
      <c r="M231" s="59" t="s">
        <v>23</v>
      </c>
    </row>
    <row r="232" spans="1:13" x14ac:dyDescent="0.25">
      <c r="A232" s="59" t="s">
        <v>13</v>
      </c>
      <c r="B232" s="59" t="s">
        <v>14</v>
      </c>
      <c r="C232" s="59" t="s">
        <v>625</v>
      </c>
      <c r="D232" s="59" t="s">
        <v>16</v>
      </c>
      <c r="E232" s="59" t="s">
        <v>562</v>
      </c>
      <c r="F232" s="59" t="s">
        <v>18</v>
      </c>
      <c r="G232" s="59" t="s">
        <v>221</v>
      </c>
      <c r="H232" s="59" t="s">
        <v>26</v>
      </c>
      <c r="I232" s="59" t="s">
        <v>626</v>
      </c>
      <c r="J232" s="59" t="s">
        <v>18</v>
      </c>
      <c r="K232" s="59" t="s">
        <v>18</v>
      </c>
      <c r="L232" s="59" t="s">
        <v>22</v>
      </c>
      <c r="M232" s="59" t="s">
        <v>23</v>
      </c>
    </row>
    <row r="233" spans="1:13" x14ac:dyDescent="0.25">
      <c r="A233" s="59" t="s">
        <v>13</v>
      </c>
      <c r="B233" s="59" t="s">
        <v>14</v>
      </c>
      <c r="C233" s="59" t="s">
        <v>627</v>
      </c>
      <c r="D233" s="59" t="s">
        <v>16</v>
      </c>
      <c r="E233" s="59" t="s">
        <v>562</v>
      </c>
      <c r="F233" s="59" t="s">
        <v>18</v>
      </c>
      <c r="G233" s="59" t="s">
        <v>617</v>
      </c>
      <c r="H233" s="59" t="s">
        <v>26</v>
      </c>
      <c r="I233" s="59" t="s">
        <v>628</v>
      </c>
      <c r="J233" s="59" t="s">
        <v>18</v>
      </c>
      <c r="K233" s="59" t="s">
        <v>18</v>
      </c>
      <c r="L233" s="59" t="s">
        <v>22</v>
      </c>
      <c r="M233" s="59" t="s">
        <v>23</v>
      </c>
    </row>
    <row r="234" spans="1:13" x14ac:dyDescent="0.25">
      <c r="A234" s="59" t="s">
        <v>13</v>
      </c>
      <c r="B234" s="59" t="s">
        <v>14</v>
      </c>
      <c r="C234" s="59" t="s">
        <v>629</v>
      </c>
      <c r="D234" s="59" t="s">
        <v>16</v>
      </c>
      <c r="E234" s="59" t="s">
        <v>562</v>
      </c>
      <c r="F234" s="59" t="s">
        <v>18</v>
      </c>
      <c r="G234" s="59" t="s">
        <v>51</v>
      </c>
      <c r="H234" s="59" t="s">
        <v>26</v>
      </c>
      <c r="I234" s="59" t="s">
        <v>630</v>
      </c>
      <c r="J234" s="59" t="s">
        <v>18</v>
      </c>
      <c r="K234" s="59" t="s">
        <v>18</v>
      </c>
      <c r="L234" s="59" t="s">
        <v>22</v>
      </c>
      <c r="M234" s="59" t="s">
        <v>23</v>
      </c>
    </row>
    <row r="235" spans="1:13" x14ac:dyDescent="0.25">
      <c r="A235" s="59" t="s">
        <v>13</v>
      </c>
      <c r="B235" s="59" t="s">
        <v>14</v>
      </c>
      <c r="C235" s="59" t="s">
        <v>631</v>
      </c>
      <c r="D235" s="59" t="s">
        <v>16</v>
      </c>
      <c r="E235" s="59" t="s">
        <v>562</v>
      </c>
      <c r="F235" s="59" t="s">
        <v>18</v>
      </c>
      <c r="G235" s="59" t="s">
        <v>632</v>
      </c>
      <c r="H235" s="59" t="s">
        <v>26</v>
      </c>
      <c r="I235" s="59" t="s">
        <v>633</v>
      </c>
      <c r="J235" s="59" t="s">
        <v>18</v>
      </c>
      <c r="K235" s="59" t="s">
        <v>18</v>
      </c>
      <c r="L235" s="59" t="s">
        <v>22</v>
      </c>
      <c r="M235" s="59" t="s">
        <v>23</v>
      </c>
    </row>
    <row r="236" spans="1:13" x14ac:dyDescent="0.25">
      <c r="A236" s="59" t="s">
        <v>13</v>
      </c>
      <c r="B236" s="59" t="s">
        <v>14</v>
      </c>
      <c r="C236" s="59" t="s">
        <v>634</v>
      </c>
      <c r="D236" s="59" t="s">
        <v>16</v>
      </c>
      <c r="E236" s="59" t="s">
        <v>562</v>
      </c>
      <c r="F236" s="59" t="s">
        <v>18</v>
      </c>
      <c r="G236" s="59" t="s">
        <v>131</v>
      </c>
      <c r="H236" s="59" t="s">
        <v>26</v>
      </c>
      <c r="I236" s="59" t="s">
        <v>635</v>
      </c>
      <c r="J236" s="59" t="s">
        <v>18</v>
      </c>
      <c r="K236" s="59" t="s">
        <v>18</v>
      </c>
      <c r="L236" s="59" t="s">
        <v>22</v>
      </c>
      <c r="M236" s="59" t="s">
        <v>23</v>
      </c>
    </row>
    <row r="237" spans="1:13" x14ac:dyDescent="0.25">
      <c r="A237" s="59" t="s">
        <v>13</v>
      </c>
      <c r="B237" s="59" t="s">
        <v>14</v>
      </c>
      <c r="C237" s="59" t="s">
        <v>636</v>
      </c>
      <c r="D237" s="59" t="s">
        <v>16</v>
      </c>
      <c r="E237" s="59" t="s">
        <v>562</v>
      </c>
      <c r="F237" s="59" t="s">
        <v>18</v>
      </c>
      <c r="G237" s="59" t="s">
        <v>110</v>
      </c>
      <c r="H237" s="59" t="s">
        <v>26</v>
      </c>
      <c r="I237" s="59" t="s">
        <v>637</v>
      </c>
      <c r="J237" s="59" t="s">
        <v>18</v>
      </c>
      <c r="K237" s="59" t="s">
        <v>18</v>
      </c>
      <c r="L237" s="59" t="s">
        <v>22</v>
      </c>
      <c r="M237" s="59" t="s">
        <v>23</v>
      </c>
    </row>
    <row r="238" spans="1:13" x14ac:dyDescent="0.25">
      <c r="A238" s="59" t="s">
        <v>13</v>
      </c>
      <c r="B238" s="59" t="s">
        <v>14</v>
      </c>
      <c r="C238" s="59" t="s">
        <v>638</v>
      </c>
      <c r="D238" s="59" t="s">
        <v>16</v>
      </c>
      <c r="E238" s="59" t="s">
        <v>562</v>
      </c>
      <c r="F238" s="59" t="s">
        <v>18</v>
      </c>
      <c r="G238" s="59" t="s">
        <v>258</v>
      </c>
      <c r="H238" s="59" t="s">
        <v>20</v>
      </c>
      <c r="I238" s="59" t="s">
        <v>639</v>
      </c>
      <c r="J238" s="59" t="s">
        <v>18</v>
      </c>
      <c r="K238" s="59" t="s">
        <v>18</v>
      </c>
      <c r="L238" s="59" t="s">
        <v>22</v>
      </c>
      <c r="M238" s="59" t="s">
        <v>23</v>
      </c>
    </row>
    <row r="239" spans="1:13" x14ac:dyDescent="0.25">
      <c r="A239" s="59" t="s">
        <v>13</v>
      </c>
      <c r="B239" s="59" t="s">
        <v>14</v>
      </c>
      <c r="C239" s="59" t="s">
        <v>640</v>
      </c>
      <c r="D239" s="59" t="s">
        <v>16</v>
      </c>
      <c r="E239" s="59" t="s">
        <v>562</v>
      </c>
      <c r="F239" s="59" t="s">
        <v>18</v>
      </c>
      <c r="G239" s="59" t="s">
        <v>33</v>
      </c>
      <c r="H239" s="59" t="s">
        <v>20</v>
      </c>
      <c r="I239" s="59" t="s">
        <v>641</v>
      </c>
      <c r="J239" s="59" t="s">
        <v>18</v>
      </c>
      <c r="K239" s="59" t="s">
        <v>18</v>
      </c>
      <c r="L239" s="59" t="s">
        <v>22</v>
      </c>
      <c r="M239" s="59" t="s">
        <v>23</v>
      </c>
    </row>
    <row r="240" spans="1:13" x14ac:dyDescent="0.25">
      <c r="A240" s="59" t="s">
        <v>13</v>
      </c>
      <c r="B240" s="59" t="s">
        <v>14</v>
      </c>
      <c r="C240" s="59" t="s">
        <v>642</v>
      </c>
      <c r="D240" s="59" t="s">
        <v>16</v>
      </c>
      <c r="E240" s="59" t="s">
        <v>562</v>
      </c>
      <c r="F240" s="59" t="s">
        <v>18</v>
      </c>
      <c r="G240" s="59" t="s">
        <v>148</v>
      </c>
      <c r="H240" s="59" t="s">
        <v>20</v>
      </c>
      <c r="I240" s="59" t="s">
        <v>643</v>
      </c>
      <c r="J240" s="59" t="s">
        <v>18</v>
      </c>
      <c r="K240" s="59" t="s">
        <v>18</v>
      </c>
      <c r="L240" s="59" t="s">
        <v>22</v>
      </c>
      <c r="M240" s="59" t="s">
        <v>23</v>
      </c>
    </row>
    <row r="241" spans="1:13" x14ac:dyDescent="0.25">
      <c r="A241" s="59" t="s">
        <v>13</v>
      </c>
      <c r="B241" s="59" t="s">
        <v>14</v>
      </c>
      <c r="C241" s="59" t="s">
        <v>644</v>
      </c>
      <c r="D241" s="59" t="s">
        <v>16</v>
      </c>
      <c r="E241" s="59" t="s">
        <v>562</v>
      </c>
      <c r="F241" s="59" t="s">
        <v>18</v>
      </c>
      <c r="G241" s="59" t="s">
        <v>142</v>
      </c>
      <c r="H241" s="59" t="s">
        <v>20</v>
      </c>
      <c r="I241" s="59" t="s">
        <v>645</v>
      </c>
      <c r="J241" s="59" t="s">
        <v>18</v>
      </c>
      <c r="K241" s="59" t="s">
        <v>18</v>
      </c>
      <c r="L241" s="59" t="s">
        <v>22</v>
      </c>
      <c r="M241" s="59" t="s">
        <v>23</v>
      </c>
    </row>
    <row r="242" spans="1:13" x14ac:dyDescent="0.25">
      <c r="A242" s="59" t="s">
        <v>13</v>
      </c>
      <c r="B242" s="59" t="s">
        <v>14</v>
      </c>
      <c r="C242" s="59" t="s">
        <v>646</v>
      </c>
      <c r="D242" s="59" t="s">
        <v>16</v>
      </c>
      <c r="E242" s="59" t="s">
        <v>562</v>
      </c>
      <c r="F242" s="59" t="s">
        <v>18</v>
      </c>
      <c r="G242" s="59" t="s">
        <v>87</v>
      </c>
      <c r="H242" s="59" t="s">
        <v>26</v>
      </c>
      <c r="I242" s="59" t="s">
        <v>647</v>
      </c>
      <c r="J242" s="59" t="s">
        <v>18</v>
      </c>
      <c r="K242" s="59" t="s">
        <v>18</v>
      </c>
      <c r="L242" s="59" t="s">
        <v>22</v>
      </c>
      <c r="M242" s="59" t="s">
        <v>23</v>
      </c>
    </row>
    <row r="243" spans="1:13" x14ac:dyDescent="0.25">
      <c r="A243" s="59" t="s">
        <v>13</v>
      </c>
      <c r="B243" s="59" t="s">
        <v>14</v>
      </c>
      <c r="C243" s="59" t="s">
        <v>648</v>
      </c>
      <c r="D243" s="59" t="s">
        <v>16</v>
      </c>
      <c r="E243" s="59" t="s">
        <v>562</v>
      </c>
      <c r="F243" s="59" t="s">
        <v>18</v>
      </c>
      <c r="G243" s="59" t="s">
        <v>59</v>
      </c>
      <c r="H243" s="59" t="s">
        <v>26</v>
      </c>
      <c r="I243" s="59" t="s">
        <v>649</v>
      </c>
      <c r="J243" s="59" t="s">
        <v>18</v>
      </c>
      <c r="K243" s="59" t="s">
        <v>18</v>
      </c>
      <c r="L243" s="59" t="s">
        <v>22</v>
      </c>
      <c r="M243" s="59" t="s">
        <v>23</v>
      </c>
    </row>
    <row r="244" spans="1:13" x14ac:dyDescent="0.25">
      <c r="A244" s="59" t="s">
        <v>13</v>
      </c>
      <c r="B244" s="59" t="s">
        <v>14</v>
      </c>
      <c r="C244" s="59" t="s">
        <v>650</v>
      </c>
      <c r="D244" s="59" t="s">
        <v>16</v>
      </c>
      <c r="E244" s="59" t="s">
        <v>562</v>
      </c>
      <c r="F244" s="59" t="s">
        <v>18</v>
      </c>
      <c r="G244" s="59" t="s">
        <v>370</v>
      </c>
      <c r="H244" s="59" t="s">
        <v>26</v>
      </c>
      <c r="I244" s="59" t="s">
        <v>651</v>
      </c>
      <c r="J244" s="59" t="s">
        <v>18</v>
      </c>
      <c r="K244" s="59" t="s">
        <v>18</v>
      </c>
      <c r="L244" s="59" t="s">
        <v>22</v>
      </c>
      <c r="M244" s="59" t="s">
        <v>23</v>
      </c>
    </row>
    <row r="245" spans="1:13" x14ac:dyDescent="0.25">
      <c r="A245" s="59" t="s">
        <v>13</v>
      </c>
      <c r="B245" s="59" t="s">
        <v>14</v>
      </c>
      <c r="C245" s="59" t="s">
        <v>652</v>
      </c>
      <c r="D245" s="59" t="s">
        <v>16</v>
      </c>
      <c r="E245" s="59" t="s">
        <v>562</v>
      </c>
      <c r="F245" s="59" t="s">
        <v>18</v>
      </c>
      <c r="G245" s="59" t="s">
        <v>164</v>
      </c>
      <c r="H245" s="59" t="s">
        <v>26</v>
      </c>
      <c r="I245" s="59" t="s">
        <v>653</v>
      </c>
      <c r="J245" s="59" t="s">
        <v>18</v>
      </c>
      <c r="K245" s="59" t="s">
        <v>18</v>
      </c>
      <c r="L245" s="59" t="s">
        <v>22</v>
      </c>
      <c r="M245" s="59" t="s">
        <v>23</v>
      </c>
    </row>
    <row r="246" spans="1:13" x14ac:dyDescent="0.25">
      <c r="A246" s="60" t="s">
        <v>13</v>
      </c>
      <c r="B246" s="60" t="s">
        <v>14</v>
      </c>
      <c r="C246" s="60" t="s">
        <v>654</v>
      </c>
      <c r="D246" s="60" t="s">
        <v>16</v>
      </c>
      <c r="E246" s="60" t="s">
        <v>559</v>
      </c>
      <c r="F246" s="60" t="s">
        <v>18</v>
      </c>
      <c r="G246" s="60" t="s">
        <v>287</v>
      </c>
      <c r="H246" s="60" t="s">
        <v>26</v>
      </c>
      <c r="I246" s="60" t="s">
        <v>655</v>
      </c>
      <c r="J246" s="60" t="s">
        <v>18</v>
      </c>
      <c r="K246" s="60" t="s">
        <v>18</v>
      </c>
      <c r="L246" s="60" t="s">
        <v>22</v>
      </c>
      <c r="M246" s="60" t="s">
        <v>23</v>
      </c>
    </row>
  </sheetData>
  <autoFilter ref="A1:M153" xr:uid="{422DEABD-AAF0-4B57-88D0-C0BBAF53E130}">
    <sortState xmlns:xlrd2="http://schemas.microsoft.com/office/spreadsheetml/2017/richdata2" ref="A2:M153">
      <sortCondition ref="E1:E15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6F65-4D92-4EF5-9A5D-1EFB92F71A42}">
  <sheetPr>
    <tabColor rgb="FF1F2A6E"/>
  </sheetPr>
  <dimension ref="A1:R60"/>
  <sheetViews>
    <sheetView showGridLines="0" zoomScale="68" workbookViewId="0">
      <selection activeCell="Y21" sqref="Y21"/>
    </sheetView>
  </sheetViews>
  <sheetFormatPr defaultRowHeight="15" x14ac:dyDescent="0.25"/>
  <cols>
    <col min="1" max="1" width="3.42578125" customWidth="1"/>
    <col min="2" max="2" width="27.42578125" bestFit="1" customWidth="1"/>
    <col min="3" max="3" width="29.7109375" bestFit="1" customWidth="1"/>
    <col min="4" max="4" width="5.85546875" bestFit="1" customWidth="1"/>
    <col min="5" max="5" width="16.140625" bestFit="1" customWidth="1"/>
    <col min="6" max="17" width="10.7109375" customWidth="1"/>
    <col min="18" max="18" width="3.42578125" customWidth="1"/>
  </cols>
  <sheetData>
    <row r="1" spans="1:18" ht="18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8" customHeight="1" x14ac:dyDescent="0.25">
      <c r="A2" s="12"/>
      <c r="B2" s="12"/>
      <c r="C2" s="40" t="s">
        <v>548</v>
      </c>
      <c r="D2" s="40"/>
      <c r="E2" s="40"/>
      <c r="F2" s="40"/>
      <c r="G2" s="40"/>
      <c r="H2" s="40"/>
      <c r="I2" s="40"/>
      <c r="J2" s="40"/>
      <c r="K2" s="40"/>
      <c r="L2" s="40"/>
      <c r="M2" s="12"/>
      <c r="N2" s="12"/>
      <c r="O2" s="42" t="s">
        <v>550</v>
      </c>
      <c r="P2" s="42"/>
      <c r="Q2" s="42"/>
      <c r="R2" s="12"/>
    </row>
    <row r="3" spans="1:18" ht="18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43" t="str">
        <f ca="1">TEXT(TODAY(),"dd/mm/aaaa")</f>
        <v>30/06/2026</v>
      </c>
      <c r="P3" s="43"/>
      <c r="Q3" s="43"/>
      <c r="R3" s="12"/>
    </row>
    <row r="4" spans="1:18" ht="18" customHeight="1" x14ac:dyDescent="0.25">
      <c r="A4" s="12"/>
      <c r="B4" s="12"/>
      <c r="C4" s="41" t="s">
        <v>549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12"/>
      <c r="O4" s="12"/>
      <c r="P4" s="12"/>
      <c r="Q4" s="12"/>
      <c r="R4" s="12"/>
    </row>
    <row r="5" spans="1:18" ht="18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6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21.95" customHeight="1" thickBot="1" x14ac:dyDescent="0.3">
      <c r="A8" s="11"/>
      <c r="B8" s="14" t="s">
        <v>551</v>
      </c>
      <c r="C8" s="14"/>
      <c r="D8" s="14"/>
      <c r="E8" s="14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18" customHeight="1" thickTop="1" x14ac:dyDescent="0.25">
      <c r="A9" s="11"/>
      <c r="B9" s="44" t="s">
        <v>552</v>
      </c>
      <c r="C9" s="45"/>
      <c r="D9" s="46"/>
      <c r="E9" s="11"/>
      <c r="F9" s="44" t="s">
        <v>553</v>
      </c>
      <c r="G9" s="45"/>
      <c r="H9" s="46"/>
      <c r="I9" s="11"/>
      <c r="J9" s="30" t="s">
        <v>554</v>
      </c>
      <c r="K9" s="31"/>
      <c r="L9" s="32"/>
      <c r="M9" s="11"/>
      <c r="N9" s="30" t="s">
        <v>557</v>
      </c>
      <c r="O9" s="31"/>
      <c r="P9" s="32"/>
      <c r="Q9" s="11"/>
      <c r="R9" s="11"/>
    </row>
    <row r="10" spans="1:18" ht="26.1" customHeight="1" x14ac:dyDescent="0.25">
      <c r="A10" s="11"/>
      <c r="B10" s="47">
        <f>SUMIFS(BAIXA!$J:$J,BAIXA!$M:$M,"Importado com sucesso.")</f>
        <v>200</v>
      </c>
      <c r="C10" s="48"/>
      <c r="D10" s="49"/>
      <c r="E10" s="11"/>
      <c r="F10" s="47">
        <f>SUMIFS(BAIXA!$J:$J,BAIXA!$N:$N,"RJ",BAIXA!$M:$M,"Importado com sucesso.")</f>
        <v>152</v>
      </c>
      <c r="G10" s="48"/>
      <c r="H10" s="49"/>
      <c r="I10" s="11"/>
      <c r="J10" s="53">
        <f>SUMIFS(BAIXA!$J:$J,BAIXA!$N:$N,"SP",BAIXA!$M:$M,"Importado com sucesso.")</f>
        <v>48</v>
      </c>
      <c r="K10" s="54"/>
      <c r="L10" s="55"/>
      <c r="M10" s="11"/>
      <c r="N10" s="33">
        <f>COUNTIFS(BAIXA!$M$2:$M$201,"Importado com sucesso.")/COUNTA(BAIXA!$M$2:$M$201)</f>
        <v>1</v>
      </c>
      <c r="O10" s="34"/>
      <c r="P10" s="35"/>
      <c r="Q10" s="11"/>
      <c r="R10" s="11"/>
    </row>
    <row r="11" spans="1:18" ht="14.1" customHeight="1" x14ac:dyDescent="0.25">
      <c r="A11" s="11"/>
      <c r="B11" s="50"/>
      <c r="C11" s="51"/>
      <c r="D11" s="52"/>
      <c r="E11" s="11"/>
      <c r="F11" s="50"/>
      <c r="G11" s="51"/>
      <c r="H11" s="52"/>
      <c r="I11" s="11"/>
      <c r="J11" s="56"/>
      <c r="K11" s="57"/>
      <c r="L11" s="58"/>
      <c r="M11" s="11"/>
      <c r="N11" s="36"/>
      <c r="O11" s="37"/>
      <c r="P11" s="38"/>
      <c r="Q11" s="11"/>
      <c r="R11" s="11"/>
    </row>
    <row r="12" spans="1:18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15.75" x14ac:dyDescent="0.25">
      <c r="A13" s="11"/>
      <c r="B13" s="15" t="s">
        <v>555</v>
      </c>
      <c r="C13" s="15"/>
      <c r="D13" s="14"/>
      <c r="E13" s="14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5">
      <c r="A14" s="11"/>
      <c r="B14" s="16" t="s">
        <v>12</v>
      </c>
      <c r="C14" s="17" t="s">
        <v>541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25">
      <c r="A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5">
      <c r="A16" s="11"/>
      <c r="B16" s="21" t="s">
        <v>547</v>
      </c>
      <c r="C16" s="22" t="s">
        <v>544</v>
      </c>
      <c r="D16" s="22"/>
      <c r="E16" s="23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5">
      <c r="A17" s="11"/>
      <c r="B17" s="24" t="s">
        <v>542</v>
      </c>
      <c r="C17" s="25" t="s">
        <v>545</v>
      </c>
      <c r="D17" s="25" t="s">
        <v>546</v>
      </c>
      <c r="E17" s="26" t="s">
        <v>543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5">
      <c r="A18" s="11"/>
      <c r="B18" s="18" t="s">
        <v>17</v>
      </c>
      <c r="C18" s="19">
        <v>74</v>
      </c>
      <c r="D18" s="19">
        <v>27</v>
      </c>
      <c r="E18" s="20">
        <v>101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5">
      <c r="A19" s="11"/>
      <c r="B19" s="18" t="s">
        <v>281</v>
      </c>
      <c r="C19" s="19">
        <v>55</v>
      </c>
      <c r="D19" s="19">
        <v>19</v>
      </c>
      <c r="E19" s="20">
        <v>74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5">
      <c r="A20" s="11"/>
      <c r="B20" s="18" t="s">
        <v>226</v>
      </c>
      <c r="C20" s="19">
        <v>23</v>
      </c>
      <c r="D20" s="19">
        <v>2</v>
      </c>
      <c r="E20" s="20">
        <v>25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5">
      <c r="A21" s="11"/>
      <c r="B21" s="27" t="s">
        <v>543</v>
      </c>
      <c r="C21" s="28">
        <v>152</v>
      </c>
      <c r="D21" s="28">
        <v>48</v>
      </c>
      <c r="E21" s="29">
        <v>200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5">
      <c r="A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5">
      <c r="A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5">
      <c r="A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5">
      <c r="A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5">
      <c r="A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5">
      <c r="A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5">
      <c r="A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5">
      <c r="A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5">
      <c r="A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5">
      <c r="A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5">
      <c r="A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5">
      <c r="A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25">
      <c r="A35" s="11"/>
      <c r="B35" s="39" t="s">
        <v>556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11"/>
    </row>
    <row r="36" spans="1:18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</sheetData>
  <mergeCells count="13">
    <mergeCell ref="N9:P9"/>
    <mergeCell ref="N10:P11"/>
    <mergeCell ref="B35:Q35"/>
    <mergeCell ref="C2:L2"/>
    <mergeCell ref="C4:M4"/>
    <mergeCell ref="O2:Q2"/>
    <mergeCell ref="O3:Q3"/>
    <mergeCell ref="B9:D9"/>
    <mergeCell ref="B10:D11"/>
    <mergeCell ref="F9:H9"/>
    <mergeCell ref="F10:H11"/>
    <mergeCell ref="J9:L9"/>
    <mergeCell ref="J10:L11"/>
  </mergeCell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BAIXA</vt:lpstr>
      <vt:lpstr>Monitoramento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Rocha</dc:creator>
  <cp:lastModifiedBy>Armando Rocha</cp:lastModifiedBy>
  <dcterms:created xsi:type="dcterms:W3CDTF">2026-06-29T13:48:58Z</dcterms:created>
  <dcterms:modified xsi:type="dcterms:W3CDTF">2026-06-30T10:58:11Z</dcterms:modified>
</cp:coreProperties>
</file>